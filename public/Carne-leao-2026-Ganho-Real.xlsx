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ce aqui" sheetId="1" r:id="rId1"/>
    <sheet name="Pagamentos" sheetId="2" r:id="rId2"/>
    <sheet name="Resumo do mês" sheetId="3" r:id="rId3"/>
    <sheet name="Deduções" sheetId="4" r:id="rId4"/>
    <sheet name="Cotações" sheetId="5" r:id="rId5"/>
    <sheet name="Tabelas" sheetId="6" r:id="rId6"/>
  </sheets>
  <definedNames>
    <definedName name="_xlnm.Print_Titles" localSheetId="1">Pagamentos!$5:$5</definedName>
    <definedName name="_xlnm.Print_Titles" localSheetId="2">'Resumo do mês'!$5:$5</definedName>
  </definedNames>
  <calcPr calcId="124519" fullCalcOnLoad="1"/>
</workbook>
</file>

<file path=xl/sharedStrings.xml><?xml version="1.0" encoding="utf-8"?>
<sst xmlns="http://schemas.openxmlformats.org/spreadsheetml/2006/main" count="173" uniqueCount="145">
  <si>
    <t>Carnê-leão 2026 para quem recebe em dólar</t>
  </si>
  <si>
    <t>Planilha gratuita do Ganho Real. Lance seus pagamentos em dólar e veja o imposto estimado de cada mês, com as regras de 2026.</t>
  </si>
  <si>
    <t>Como usar</t>
  </si>
  <si>
    <t>1. Na aba Pagamentos, lance cada pagamento: a data em que o dinheiro foi creditado a você, a plataforma e o valor bruto em dólares.</t>
  </si>
  <si>
    <t>2. A cotação oficial e o valor em reais aparecem sozinhos (dólar de compra do Banco Central, aba Cotações).</t>
  </si>
  <si>
    <t>3. Paga INSS, tem dependentes ou paga pensão alimentícia? Preencha a aba Deduções. Se não, pode pular.</t>
  </si>
  <si>
    <t>4. Na aba Resumo do mês, veja quanto pagar de DARF e até quando.</t>
  </si>
  <si>
    <t>Legenda</t>
  </si>
  <si>
    <t>Célula amarela: você preenche.</t>
  </si>
  <si>
    <t>Célula branca: calculada pela planilha. Não precisa mexer.</t>
  </si>
  <si>
    <t>As abas estão protegidas, sem senha, para evitar apagar fórmulas sem querer (Revisão &gt; Desproteger planilha).</t>
  </si>
  <si>
    <t>Regras usadas</t>
  </si>
  <si>
    <t>• Conversão: cada pagamento vira reais pelo dólar de compra (PTAX) do último dia útil da 1ª quinzena do mês anterior ao recebimento.</t>
  </si>
  <si>
    <t>• Até R$ 5.000,00 recebidos no mês: imposto zero. De R$ 5.000,01 a R$ 7.350,00: redução parcial. Acima disso: tabela normal (Lei nº 15.270/2025).</t>
  </si>
  <si>
    <t>• A planilha usa o desconto simplificado de R$ 607,20 ou as suas deduções legais, o que for maior. A aba Deduções mostra qual escolher no Carnê-Leão Web.</t>
  </si>
  <si>
    <t>• O DARF (código 0190) é gerado no Carnê-Leão Web, no e-CAC, com conta gov.br prata ou ouro.</t>
  </si>
  <si>
    <t>• Vencimento: último dia útil do mês seguinte ao recebimento. Atraso: multa de 0,33% ao dia (até 20%) mais juros Selic.</t>
  </si>
  <si>
    <t>• DARF abaixo de R$ 10,00 não é pago: o valor é somado ao imposto do mês seguinte.</t>
  </si>
  <si>
    <t>• Carnê-leão é imposto de renda e não conta para o INSS. A contribuição ao INSS é separada.</t>
  </si>
  <si>
    <t>Antes de usar</t>
  </si>
  <si>
    <t>• Recebeu em outra moeda (euro, libra)? Converta para dólar pela cotação do dia do recebimento e lance o valor em dólar.</t>
  </si>
  <si>
    <t>• Lance o valor bruto pago pela plataforma, antes das taxas do PayPal, Wise, Payoneer ou do banco.</t>
  </si>
  <si>
    <t>• Tem salário CLT também? Ele já tem imposto descontado na fonte. O acerto entre os dois acontece na declaração anual.</t>
  </si>
  <si>
    <t>• A cotação usada para pagamentos de dezembro só sai em 13/11/2026. A aba Cotações mostra onde consultar.</t>
  </si>
  <si>
    <t>Estimativa baseada nas regras publicadas para 2026. Não é orientação contábil. Em caso de dúvida, consulte um contador.</t>
  </si>
  <si>
    <t>Feito pelo Ganho Real: descubra quanto cada plataforma paga de verdade, por hora, em reais.</t>
  </si>
  <si>
    <t>Cotações do Banco Central consultadas em 26/10/2026.</t>
  </si>
  <si>
    <t>Pagamentos recebidos em 2026</t>
  </si>
  <si>
    <t>Um pagamento por linha. Preencha só as colunas amarelas: data, plataforma e valor em dólares.</t>
  </si>
  <si>
    <t>Total em reais:</t>
  </si>
  <si>
    <t>Data do recebimento</t>
  </si>
  <si>
    <t>Plataforma</t>
  </si>
  <si>
    <t>Valor bruto (US$)</t>
  </si>
  <si>
    <t>Mês</t>
  </si>
  <si>
    <t>Cotação usada (R$ por US$)</t>
  </si>
  <si>
    <t>Valor em reais (R$)</t>
  </si>
  <si>
    <t>Aviso</t>
  </si>
  <si>
    <t>Exemplo: Outlier</t>
  </si>
  <si>
    <t>← Exemplo: não entra no total</t>
  </si>
  <si>
    <t>Resumo do mês: quanto pagar de carnê-leão</t>
  </si>
  <si>
    <t>Tudo aqui é calculado a partir das abas Pagamentos e Deduções. Estimativa com as regras de 2026, não é orientação contábil.</t>
  </si>
  <si>
    <t>Nº</t>
  </si>
  <si>
    <t>Recebido no mês (R$)</t>
  </si>
  <si>
    <t>Deduções usadas (R$)</t>
  </si>
  <si>
    <t>Base de cálculo (R$)</t>
  </si>
  <si>
    <t>Imposto pela tabela (R$)</t>
  </si>
  <si>
    <t>Redução 2026 (R$)</t>
  </si>
  <si>
    <t>Imposto do mês (R$)</t>
  </si>
  <si>
    <t>Saldo de meses anteriores (R$)</t>
  </si>
  <si>
    <t>DARF a pagar (R$)</t>
  </si>
  <si>
    <t>Vencimento</t>
  </si>
  <si>
    <t>Situação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</si>
  <si>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</si>
  <si>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</si>
  <si>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</si>
  <si>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</si>
  <si>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</si>
  <si>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</si>
  <si>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</si>
  <si>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</si>
  <si>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</si>
  <si>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</si>
  <si>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</si>
  <si>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</si>
  <si>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2026</t>
  </si>
  <si>
    <t>Vencimento: último dia útil do mês seguinte ao recebimento. Pagar atrasado gera multa de 0,33% ao dia (até 20%) mais juros Selic.</t>
  </si>
  <si>
    <t>O DARF é gerado no Carnê-Leão Web (e-CAC, conta gov.br prata ou ouro). Lá, use a opção indicada na coluna "Opção mais vantajosa" da aba Deduções.</t>
  </si>
  <si>
    <t>Redução 2026: até R$ 5.000,00 no mês o imposto fica zero; de R$ 5.000,01 a R$ 7.350,00 a redução diminui aos poucos (detalhes na aba Tabelas).</t>
  </si>
  <si>
    <t>Deduções (opcional)</t>
  </si>
  <si>
    <t>Preencha só se você paga INSS como autônomo, tem dependentes ou paga pensão alimentícia. Em branco, a planilha usa o desconto simplificado de R$ 607,20.</t>
  </si>
  <si>
    <t>INSS pago no mês (R$)</t>
  </si>
  <si>
    <t>Nº de dependentes</t>
  </si>
  <si>
    <t>Pensão alimentícia (R$)</t>
  </si>
  <si>
    <t>Outras deduções (R$)</t>
  </si>
  <si>
    <t>Deduções legais (R$)</t>
  </si>
  <si>
    <t>Desconto simplificado (R$)</t>
  </si>
  <si>
    <t>Usado no cálculo (R$)</t>
  </si>
  <si>
    <t>Opção mais vantajosa</t>
  </si>
  <si>
    <t>INSS: valor da guia do INSS paga neste mês, como contribuinte individual.</t>
  </si>
  <si>
    <t>Dependentes: R$ 189,59 por dependente, por mês. Pensão: só a paga por decisão judicial ou acordo homologado.</t>
  </si>
  <si>
    <t>Outras deduções: por exemplo, livro-caixa. Use só com orientação de um contador.</t>
  </si>
  <si>
    <t>Cotações do dólar (PTAX de compra, Banco Central)</t>
  </si>
  <si>
    <t>Para cada mês de recebimento vale a cotação de compra do último dia útil da 1ª quinzena do mês anterior.</t>
  </si>
  <si>
    <t>Mês do recebimento</t>
  </si>
  <si>
    <t>Data de referência</t>
  </si>
  <si>
    <t>Cotação de compra (R$ por US$)</t>
  </si>
  <si>
    <t>Fonte</t>
  </si>
  <si>
    <t>Janeiro de 2026</t>
  </si>
  <si>
    <t>Banco Central (PTAX), consultado em 26/10/2026</t>
  </si>
  <si>
    <t>Fevereiro de 2026</t>
  </si>
  <si>
    <t>Março de 2026</t>
  </si>
  <si>
    <t>Abril de 2026</t>
  </si>
  <si>
    <t>Maio de 2026</t>
  </si>
  <si>
    <t>Junho de 2026</t>
  </si>
  <si>
    <t>Julho de 2026</t>
  </si>
  <si>
    <t>Agosto de 2026</t>
  </si>
  <si>
    <t>Setembro de 2026</t>
  </si>
  <si>
    <t>Outubro de 2026</t>
  </si>
  <si>
    <t>Novembro de 2026</t>
  </si>
  <si>
    <t>Dezembro de 2026</t>
  </si>
  <si>
    <t>Preencha após 13/11/2026: cotação de compra desse dia no site do Banco Central</t>
  </si>
  <si>
    <t>Fonte: Banco Central do Brasil, PTAX, cotação de compra do dólar. Consulta: https://www.bcb.gov.br/estabilidadefinanceira/historicocotacoes</t>
  </si>
  <si>
    <t>Só a cotação de dezembro fica liberada para preencher. Para mudar outra, desproteja a planilha (Revisão &gt; Desproteger planilha).</t>
  </si>
  <si>
    <t>Regras e tabelas usadas (2026)</t>
  </si>
  <si>
    <t>A planilha calcula tudo a partir destes valores. Se uma regra mudar, atualize aqui.</t>
  </si>
  <si>
    <t>Tabela progressiva mensal do IRPF (vigente desde maio de 2025)</t>
  </si>
  <si>
    <t>Base de cálculo acima de (R$)</t>
  </si>
  <si>
    <t>Até (R$)</t>
  </si>
  <si>
    <t>Alíquota</t>
  </si>
  <si>
    <t>Parcela a deduzir (R$)</t>
  </si>
  <si>
    <t>sem limite</t>
  </si>
  <si>
    <t>Fonte: Lei nº 15.191/2025</t>
  </si>
  <si>
    <t>Deduções</t>
  </si>
  <si>
    <t>Desconto simplificado mensal (R$)</t>
  </si>
  <si>
    <t>25% da faixa isenta da tabela mensal; substitui as deduções legais</t>
  </si>
  <si>
    <t>Dedução por dependente, por mês (R$)</t>
  </si>
  <si>
    <t>Fonte: Lei nº 9.250/1995</t>
  </si>
  <si>
    <t>Redução do imposto em 2026 (Lei nº 15.270/2025)</t>
  </si>
  <si>
    <t>Imposto zero para rendimento mensal até (R$)</t>
  </si>
  <si>
    <t>Redução máxima nessa faixa (R$)</t>
  </si>
  <si>
    <t>Redução parcial para rendimento até (R$)</t>
  </si>
  <si>
    <t>Redução parcial: valor fixo (R$)</t>
  </si>
  <si>
    <t>Redução parcial: fator sobre o rendimento</t>
  </si>
  <si>
    <t>De R$ 5.000,01 a R$ 7.350,00: redução = 978,62 − 0,133145 × rendimento do mês, nunca maior que o imposto.</t>
  </si>
  <si>
    <t>DARF</t>
  </si>
  <si>
    <t>Valor mínimo do DARF (R$)</t>
  </si>
  <si>
    <t>Abaixo disso, o imposto é somado ao do mês seguinte</t>
  </si>
  <si>
    <t>Código do DARF (carnê-leão)</t>
  </si>
  <si>
    <t>0190</t>
  </si>
  <si>
    <t>Dias sem expediente bancário (usados para calcular o vencimento)</t>
  </si>
  <si>
    <t>Data</t>
  </si>
  <si>
    <t>Feriado</t>
  </si>
  <si>
    <t>Confraternização Universal</t>
  </si>
  <si>
    <t>Carnaval</t>
  </si>
  <si>
    <t>Sexta-feira Santa</t>
  </si>
  <si>
    <t>Tiradentes</t>
  </si>
  <si>
    <t>Dia do Trabalho</t>
  </si>
  <si>
    <t>Corpus Christi</t>
  </si>
  <si>
    <t>Independência</t>
  </si>
  <si>
    <t>Nossa Senhora Aparecida</t>
  </si>
  <si>
    <t>Finados</t>
  </si>
  <si>
    <t>Proclamação da República</t>
  </si>
  <si>
    <t>Consciência Negra</t>
  </si>
  <si>
    <t>Natal</t>
  </si>
  <si>
    <t>Último dia do ano (sem expediente bancário)</t>
  </si>
</sst>
</file>

<file path=xl/styles.xml><?xml version="1.0" encoding="utf-8"?>
<styleSheet xmlns="http://schemas.openxmlformats.org/spreadsheetml/2006/main">
  <numFmts count="7">
    <numFmt numFmtId="164" formatCode="&quot;R$&quot; #,##0.00;-&quot;R$&quot; #,##0.00;&quot;–&quot;"/>
    <numFmt numFmtId="165" formatCode="dd/mm/yyyy"/>
    <numFmt numFmtId="166" formatCode="&quot;US$&quot; #,##0.00"/>
    <numFmt numFmtId="167" formatCode="0.0000"/>
    <numFmt numFmtId="168" formatCode="&quot;R$&quot; #,##0.00"/>
    <numFmt numFmtId="169" formatCode="0.0%"/>
    <numFmt numFmtId="170" formatCode="0.000000"/>
  </numFmts>
  <fonts count="13">
    <font>
      <sz val="11"/>
      <color theme="1"/>
      <name val="Arial"/>
      <family val="2"/>
    </font>
    <font>
      <b/>
      <sz val="20"/>
      <color rgb="FF13201B"/>
      <name val="Arial"/>
      <family val="2"/>
    </font>
    <font>
      <sz val="10"/>
      <color rgb="FF5C6762"/>
      <name val="Arial"/>
      <family val="2"/>
    </font>
    <font>
      <b/>
      <sz val="12"/>
      <color rgb="FF0B6B4F"/>
      <name val="Arial"/>
      <family val="2"/>
    </font>
    <font>
      <sz val="10"/>
      <color rgb="FF13201B"/>
      <name val="Arial"/>
      <family val="2"/>
    </font>
    <font>
      <sz val="10"/>
      <color rgb="FF0000FF"/>
      <name val="Arial"/>
      <family val="2"/>
    </font>
    <font>
      <i/>
      <sz val="10"/>
      <color rgb="FF5C6762"/>
      <name val="Arial"/>
      <family val="2"/>
    </font>
    <font>
      <b/>
      <sz val="10"/>
      <color rgb="FF7A3A06"/>
      <name val="Arial"/>
      <family val="2"/>
    </font>
    <font>
      <b/>
      <sz val="10"/>
      <color rgb="FF0B6B4F"/>
      <name val="Arial"/>
      <family val="2"/>
    </font>
    <font>
      <b/>
      <sz val="16"/>
      <color rgb="FF13201B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DF1E3"/>
        <bgColor indexed="64"/>
      </patternFill>
    </fill>
    <fill>
      <patternFill patternType="solid">
        <fgColor rgb="FF13201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1EA"/>
        <bgColor indexed="64"/>
      </patternFill>
    </fill>
  </fills>
  <borders count="4">
    <border>
      <left/>
      <right/>
      <top/>
      <bottom/>
      <diagonal/>
    </border>
    <border>
      <left style="thin">
        <color rgb="FFE4E0D5"/>
      </left>
      <right style="thin">
        <color rgb="FFE4E0D5"/>
      </right>
      <top style="thin">
        <color rgb="FFE4E0D5"/>
      </top>
      <bottom style="thin">
        <color rgb="FFE4E0D5"/>
      </bottom>
      <diagonal/>
    </border>
    <border>
      <left style="thin">
        <color rgb="FFF3D9B8"/>
      </left>
      <right style="thin">
        <color rgb="FFF3D9B8"/>
      </right>
      <top style="thin">
        <color rgb="FFF3D9B8"/>
      </top>
      <bottom style="thin">
        <color rgb="FFF3D9B8"/>
      </bottom>
      <diagonal/>
    </border>
    <border>
      <left style="thin">
        <color rgb="FF13201B"/>
      </left>
      <right style="thin">
        <color rgb="FF13201B"/>
      </right>
      <top style="thin">
        <color rgb="FF13201B"/>
      </top>
      <bottom style="thin">
        <color rgb="FF13201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vertical="center"/>
    </xf>
    <xf numFmtId="0" fontId="11" fillId="4" borderId="3" xfId="0" applyFont="1" applyFill="1" applyBorder="1" applyAlignment="1">
      <alignment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66" fontId="6" fillId="5" borderId="1" xfId="0" applyNumberFormat="1" applyFont="1" applyFill="1" applyBorder="1" applyAlignment="1">
      <alignment vertical="center"/>
    </xf>
    <xf numFmtId="1" fontId="6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 applyProtection="1">
      <alignment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164" fontId="10" fillId="6" borderId="1" xfId="0" applyNumberFormat="1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 applyProtection="1">
      <alignment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1" xfId="0" applyNumberFormat="1" applyFont="1" applyBorder="1" applyAlignment="1">
      <alignment vertical="center"/>
    </xf>
    <xf numFmtId="167" fontId="5" fillId="2" borderId="1" xfId="0" applyNumberFormat="1" applyFont="1" applyFill="1" applyBorder="1" applyAlignment="1" applyProtection="1">
      <alignment vertical="center"/>
      <protection locked="0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2">
    <dxf>
      <font>
        <b/>
        <color rgb="FF7A3A06"/>
      </font>
      <fill>
        <patternFill>
          <bgColor rgb="FFFDF1E3"/>
        </patternFill>
      </fill>
    </dxf>
    <dxf>
      <font>
        <color rgb="FF0B6B4F"/>
      </font>
      <fill>
        <patternFill>
          <bgColor rgb="FFE2F1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B6B4F"/>
    <pageSetUpPr fitToPage="1"/>
  </sheetPr>
  <dimension ref="B2:B34"/>
  <sheetViews>
    <sheetView showGridLines="0" tabSelected="1" workbookViewId="0"/>
  </sheetViews>
  <sheetFormatPr defaultRowHeight="15"/>
  <cols>
    <col min="1" max="1" width="2.7109375" customWidth="1"/>
    <col min="2" max="2" width="135.7109375" customWidth="1"/>
  </cols>
  <sheetData>
    <row r="2" spans="2:2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1" spans="2:2">
      <c r="B11" s="3" t="s">
        <v>7</v>
      </c>
    </row>
    <row r="12" spans="2:2">
      <c r="B12" s="5" t="s">
        <v>8</v>
      </c>
    </row>
    <row r="13" spans="2:2">
      <c r="B13" s="6" t="s">
        <v>9</v>
      </c>
    </row>
    <row r="14" spans="2:2">
      <c r="B14" s="7" t="s">
        <v>10</v>
      </c>
    </row>
    <row r="16" spans="2:2">
      <c r="B16" s="3" t="s">
        <v>11</v>
      </c>
    </row>
    <row r="17" spans="2:2">
      <c r="B17" s="4" t="s">
        <v>12</v>
      </c>
    </row>
    <row r="18" spans="2:2">
      <c r="B18" s="4" t="s">
        <v>13</v>
      </c>
    </row>
    <row r="19" spans="2:2">
      <c r="B19" s="4" t="s">
        <v>14</v>
      </c>
    </row>
    <row r="20" spans="2:2">
      <c r="B20" s="4" t="s">
        <v>15</v>
      </c>
    </row>
    <row r="21" spans="2:2">
      <c r="B21" s="4" t="s">
        <v>16</v>
      </c>
    </row>
    <row r="22" spans="2:2">
      <c r="B22" s="4" t="s">
        <v>17</v>
      </c>
    </row>
    <row r="23" spans="2:2">
      <c r="B23" s="4" t="s">
        <v>18</v>
      </c>
    </row>
    <row r="25" spans="2:2">
      <c r="B25" s="3" t="s">
        <v>19</v>
      </c>
    </row>
    <row r="26" spans="2:2">
      <c r="B26" s="4" t="s">
        <v>20</v>
      </c>
    </row>
    <row r="27" spans="2:2">
      <c r="B27" s="4" t="s">
        <v>21</v>
      </c>
    </row>
    <row r="28" spans="2:2">
      <c r="B28" s="4" t="s">
        <v>22</v>
      </c>
    </row>
    <row r="29" spans="2:2">
      <c r="B29" s="4" t="s">
        <v>23</v>
      </c>
    </row>
    <row r="31" spans="2:2" ht="30" customHeight="1">
      <c r="B31" s="8" t="s">
        <v>24</v>
      </c>
    </row>
    <row r="33" spans="2:2">
      <c r="B33" s="9" t="s">
        <v>25</v>
      </c>
    </row>
    <row r="34" spans="2:2">
      <c r="B34" s="7" t="s">
        <v>26</v>
      </c>
    </row>
  </sheetData>
  <sheetProtection sheet="1" objects="1" scenarios="1" formatColumns="0" formatRows="0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8A33D"/>
    <pageSetUpPr fitToPage="1"/>
  </sheetPr>
  <dimension ref="B2:H30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14.7109375" customWidth="1"/>
    <col min="3" max="3" width="26.7109375" customWidth="1"/>
    <col min="4" max="4" width="16.7109375" customWidth="1"/>
    <col min="5" max="5" width="7.7109375" customWidth="1"/>
    <col min="6" max="6" width="15.7109375" customWidth="1"/>
    <col min="7" max="7" width="18.7109375" customWidth="1"/>
    <col min="8" max="8" width="40.7109375" customWidth="1"/>
  </cols>
  <sheetData>
    <row r="2" spans="2:8">
      <c r="B2" s="10" t="s">
        <v>27</v>
      </c>
    </row>
    <row r="3" spans="2:8">
      <c r="B3" s="2" t="s">
        <v>28</v>
      </c>
      <c r="F3" s="11" t="s">
        <v>29</v>
      </c>
      <c r="G3" s="12">
        <f>SUM(G7:G306)</f>
        <v>0</v>
      </c>
    </row>
    <row r="5" spans="2:8" ht="30" customHeight="1"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</row>
    <row r="6" spans="2:8">
      <c r="B6" s="14">
        <v>46027</v>
      </c>
      <c r="C6" s="15" t="s">
        <v>37</v>
      </c>
      <c r="D6" s="16">
        <v>480</v>
      </c>
      <c r="E6" s="17">
        <f>IFERROR(IF(B6="","",IF(YEAR(B6)&lt;&gt;2026,"",MONTH(B6))),"")</f>
        <v>1</v>
      </c>
      <c r="F6" s="18">
        <f>IF(E6="","",IF(INDEX('Cotações'!$E$6:$E$17,E6)="","",INDEX('Cotações'!$E$6:$E$17,E6)))</f>
        <v>5.3923</v>
      </c>
      <c r="G6" s="19">
        <f>IF(OR(F6="",NOT(ISNUMBER(D6))),"",ROUND(D6*F6,2))</f>
        <v>2588.3</v>
      </c>
      <c r="H6" s="15" t="s">
        <v>38</v>
      </c>
    </row>
    <row r="7" spans="2:8">
      <c r="B7" s="20"/>
      <c r="C7" s="21"/>
      <c r="D7" s="22"/>
      <c r="E7" s="23">
        <f>IFERROR(IF(B7="","",IF(YEAR(B7)&lt;&gt;2026,"",MONTH(B7))),"")</f>
        <v/>
      </c>
      <c r="F7" s="24">
        <f>IF(E7="","",IF(INDEX('Cotações'!$E$6:$E$17,E7)="","",INDEX('Cotações'!$E$6:$E$17,E7)))</f>
        <v/>
      </c>
      <c r="G7" s="25">
        <f>IF(OR(F7="",NOT(ISNUMBER(D7))),"",ROUND(D7*F7,2))</f>
        <v/>
      </c>
      <c r="H7" s="26">
        <f>IF(AND(B7="",D7=""),"",IF(B7="","Falta a data",IF(IFERROR(YEAR(B7),0)&lt;&gt;2026,"Use uma data de 2026",IF(D7="","Falta o valor",IF(NOT(ISNUMBER(D7)),"O valor precisa ser um número",IF(F7="","Falta a cotação deste mês (aba Cotações)",""))))))</f>
        <v/>
      </c>
    </row>
    <row r="8" spans="2:8">
      <c r="B8" s="20"/>
      <c r="C8" s="21"/>
      <c r="D8" s="22"/>
      <c r="E8" s="23">
        <f>IFERROR(IF(B8="","",IF(YEAR(B8)&lt;&gt;2026,"",MONTH(B8))),"")</f>
        <v/>
      </c>
      <c r="F8" s="24">
        <f>IF(E8="","",IF(INDEX('Cotações'!$E$6:$E$17,E8)="","",INDEX('Cotações'!$E$6:$E$17,E8)))</f>
        <v/>
      </c>
      <c r="G8" s="25">
        <f>IF(OR(F8="",NOT(ISNUMBER(D8))),"",ROUND(D8*F8,2))</f>
        <v/>
      </c>
      <c r="H8" s="26">
        <f>IF(AND(B8="",D8=""),"",IF(B8="","Falta a data",IF(IFERROR(YEAR(B8),0)&lt;&gt;2026,"Use uma data de 2026",IF(D8="","Falta o valor",IF(NOT(ISNUMBER(D8)),"O valor precisa ser um número",IF(F8="","Falta a cotação deste mês (aba Cotações)",""))))))</f>
        <v/>
      </c>
    </row>
    <row r="9" spans="2:8">
      <c r="B9" s="20"/>
      <c r="C9" s="21"/>
      <c r="D9" s="22"/>
      <c r="E9" s="23">
        <f>IFERROR(IF(B9="","",IF(YEAR(B9)&lt;&gt;2026,"",MONTH(B9))),"")</f>
        <v/>
      </c>
      <c r="F9" s="24">
        <f>IF(E9="","",IF(INDEX('Cotações'!$E$6:$E$17,E9)="","",INDEX('Cotações'!$E$6:$E$17,E9)))</f>
        <v/>
      </c>
      <c r="G9" s="25">
        <f>IF(OR(F9="",NOT(ISNUMBER(D9))),"",ROUND(D9*F9,2))</f>
        <v/>
      </c>
      <c r="H9" s="26">
        <f>IF(AND(B9="",D9=""),"",IF(B9="","Falta a data",IF(IFERROR(YEAR(B9),0)&lt;&gt;2026,"Use uma data de 2026",IF(D9="","Falta o valor",IF(NOT(ISNUMBER(D9)),"O valor precisa ser um número",IF(F9="","Falta a cotação deste mês (aba Cotações)",""))))))</f>
        <v/>
      </c>
    </row>
    <row r="10" spans="2:8">
      <c r="B10" s="20"/>
      <c r="C10" s="21"/>
      <c r="D10" s="22"/>
      <c r="E10" s="23">
        <f>IFERROR(IF(B10="","",IF(YEAR(B10)&lt;&gt;2026,"",MONTH(B10))),"")</f>
        <v/>
      </c>
      <c r="F10" s="24">
        <f>IF(E10="","",IF(INDEX('Cotações'!$E$6:$E$17,E10)="","",INDEX('Cotações'!$E$6:$E$17,E10)))</f>
        <v/>
      </c>
      <c r="G10" s="25">
        <f>IF(OR(F10="",NOT(ISNUMBER(D10))),"",ROUND(D10*F10,2))</f>
        <v/>
      </c>
      <c r="H10" s="26">
        <f>IF(AND(B10="",D10=""),"",IF(B10="","Falta a data",IF(IFERROR(YEAR(B10),0)&lt;&gt;2026,"Use uma data de 2026",IF(D10="","Falta o valor",IF(NOT(ISNUMBER(D10)),"O valor precisa ser um número",IF(F10="","Falta a cotação deste mês (aba Cotações)",""))))))</f>
        <v/>
      </c>
    </row>
    <row r="11" spans="2:8">
      <c r="B11" s="20"/>
      <c r="C11" s="21"/>
      <c r="D11" s="22"/>
      <c r="E11" s="23">
        <f>IFERROR(IF(B11="","",IF(YEAR(B11)&lt;&gt;2026,"",MONTH(B11))),"")</f>
        <v/>
      </c>
      <c r="F11" s="24">
        <f>IF(E11="","",IF(INDEX('Cotações'!$E$6:$E$17,E11)="","",INDEX('Cotações'!$E$6:$E$17,E11)))</f>
        <v/>
      </c>
      <c r="G11" s="25">
        <f>IF(OR(F11="",NOT(ISNUMBER(D11))),"",ROUND(D11*F11,2))</f>
        <v/>
      </c>
      <c r="H11" s="26">
        <f>IF(AND(B11="",D11=""),"",IF(B11="","Falta a data",IF(IFERROR(YEAR(B11),0)&lt;&gt;2026,"Use uma data de 2026",IF(D11="","Falta o valor",IF(NOT(ISNUMBER(D11)),"O valor precisa ser um número",IF(F11="","Falta a cotação deste mês (aba Cotações)",""))))))</f>
        <v/>
      </c>
    </row>
    <row r="12" spans="2:8">
      <c r="B12" s="20"/>
      <c r="C12" s="21"/>
      <c r="D12" s="22"/>
      <c r="E12" s="23">
        <f>IFERROR(IF(B12="","",IF(YEAR(B12)&lt;&gt;2026,"",MONTH(B12))),"")</f>
        <v/>
      </c>
      <c r="F12" s="24">
        <f>IF(E12="","",IF(INDEX('Cotações'!$E$6:$E$17,E12)="","",INDEX('Cotações'!$E$6:$E$17,E12)))</f>
        <v/>
      </c>
      <c r="G12" s="25">
        <f>IF(OR(F12="",NOT(ISNUMBER(D12))),"",ROUND(D12*F12,2))</f>
        <v/>
      </c>
      <c r="H12" s="26">
        <f>IF(AND(B12="",D12=""),"",IF(B12="","Falta a data",IF(IFERROR(YEAR(B12),0)&lt;&gt;2026,"Use uma data de 2026",IF(D12="","Falta o valor",IF(NOT(ISNUMBER(D12)),"O valor precisa ser um número",IF(F12="","Falta a cotação deste mês (aba Cotações)",""))))))</f>
        <v/>
      </c>
    </row>
    <row r="13" spans="2:8">
      <c r="B13" s="20"/>
      <c r="C13" s="21"/>
      <c r="D13" s="22"/>
      <c r="E13" s="23">
        <f>IFERROR(IF(B13="","",IF(YEAR(B13)&lt;&gt;2026,"",MONTH(B13))),"")</f>
        <v/>
      </c>
      <c r="F13" s="24">
        <f>IF(E13="","",IF(INDEX('Cotações'!$E$6:$E$17,E13)="","",INDEX('Cotações'!$E$6:$E$17,E13)))</f>
        <v/>
      </c>
      <c r="G13" s="25">
        <f>IF(OR(F13="",NOT(ISNUMBER(D13))),"",ROUND(D13*F13,2))</f>
        <v/>
      </c>
      <c r="H13" s="26">
        <f>IF(AND(B13="",D13=""),"",IF(B13="","Falta a data",IF(IFERROR(YEAR(B13),0)&lt;&gt;2026,"Use uma data de 2026",IF(D13="","Falta o valor",IF(NOT(ISNUMBER(D13)),"O valor precisa ser um número",IF(F13="","Falta a cotação deste mês (aba Cotações)",""))))))</f>
        <v/>
      </c>
    </row>
    <row r="14" spans="2:8">
      <c r="B14" s="20"/>
      <c r="C14" s="21"/>
      <c r="D14" s="22"/>
      <c r="E14" s="23">
        <f>IFERROR(IF(B14="","",IF(YEAR(B14)&lt;&gt;2026,"",MONTH(B14))),"")</f>
        <v/>
      </c>
      <c r="F14" s="24">
        <f>IF(E14="","",IF(INDEX('Cotações'!$E$6:$E$17,E14)="","",INDEX('Cotações'!$E$6:$E$17,E14)))</f>
        <v/>
      </c>
      <c r="G14" s="25">
        <f>IF(OR(F14="",NOT(ISNUMBER(D14))),"",ROUND(D14*F14,2))</f>
        <v/>
      </c>
      <c r="H14" s="26">
        <f>IF(AND(B14="",D14=""),"",IF(B14="","Falta a data",IF(IFERROR(YEAR(B14),0)&lt;&gt;2026,"Use uma data de 2026",IF(D14="","Falta o valor",IF(NOT(ISNUMBER(D14)),"O valor precisa ser um número",IF(F14="","Falta a cotação deste mês (aba Cotações)",""))))))</f>
        <v/>
      </c>
    </row>
    <row r="15" spans="2:8">
      <c r="B15" s="20"/>
      <c r="C15" s="21"/>
      <c r="D15" s="22"/>
      <c r="E15" s="23">
        <f>IFERROR(IF(B15="","",IF(YEAR(B15)&lt;&gt;2026,"",MONTH(B15))),"")</f>
        <v/>
      </c>
      <c r="F15" s="24">
        <f>IF(E15="","",IF(INDEX('Cotações'!$E$6:$E$17,E15)="","",INDEX('Cotações'!$E$6:$E$17,E15)))</f>
        <v/>
      </c>
      <c r="G15" s="25">
        <f>IF(OR(F15="",NOT(ISNUMBER(D15))),"",ROUND(D15*F15,2))</f>
        <v/>
      </c>
      <c r="H15" s="26">
        <f>IF(AND(B15="",D15=""),"",IF(B15="","Falta a data",IF(IFERROR(YEAR(B15),0)&lt;&gt;2026,"Use uma data de 2026",IF(D15="","Falta o valor",IF(NOT(ISNUMBER(D15)),"O valor precisa ser um número",IF(F15="","Falta a cotação deste mês (aba Cotações)",""))))))</f>
        <v/>
      </c>
    </row>
    <row r="16" spans="2:8">
      <c r="B16" s="20"/>
      <c r="C16" s="21"/>
      <c r="D16" s="22"/>
      <c r="E16" s="23">
        <f>IFERROR(IF(B16="","",IF(YEAR(B16)&lt;&gt;2026,"",MONTH(B16))),"")</f>
        <v/>
      </c>
      <c r="F16" s="24">
        <f>IF(E16="","",IF(INDEX('Cotações'!$E$6:$E$17,E16)="","",INDEX('Cotações'!$E$6:$E$17,E16)))</f>
        <v/>
      </c>
      <c r="G16" s="25">
        <f>IF(OR(F16="",NOT(ISNUMBER(D16))),"",ROUND(D16*F16,2))</f>
        <v/>
      </c>
      <c r="H16" s="26">
        <f>IF(AND(B16="",D16=""),"",IF(B16="","Falta a data",IF(IFERROR(YEAR(B16),0)&lt;&gt;2026,"Use uma data de 2026",IF(D16="","Falta o valor",IF(NOT(ISNUMBER(D16)),"O valor precisa ser um número",IF(F16="","Falta a cotação deste mês (aba Cotações)",""))))))</f>
        <v/>
      </c>
    </row>
    <row r="17" spans="2:8">
      <c r="B17" s="20"/>
      <c r="C17" s="21"/>
      <c r="D17" s="22"/>
      <c r="E17" s="23">
        <f>IFERROR(IF(B17="","",IF(YEAR(B17)&lt;&gt;2026,"",MONTH(B17))),"")</f>
        <v/>
      </c>
      <c r="F17" s="24">
        <f>IF(E17="","",IF(INDEX('Cotações'!$E$6:$E$17,E17)="","",INDEX('Cotações'!$E$6:$E$17,E17)))</f>
        <v/>
      </c>
      <c r="G17" s="25">
        <f>IF(OR(F17="",NOT(ISNUMBER(D17))),"",ROUND(D17*F17,2))</f>
        <v/>
      </c>
      <c r="H17" s="26">
        <f>IF(AND(B17="",D17=""),"",IF(B17="","Falta a data",IF(IFERROR(YEAR(B17),0)&lt;&gt;2026,"Use uma data de 2026",IF(D17="","Falta o valor",IF(NOT(ISNUMBER(D17)),"O valor precisa ser um número",IF(F17="","Falta a cotação deste mês (aba Cotações)",""))))))</f>
        <v/>
      </c>
    </row>
    <row r="18" spans="2:8">
      <c r="B18" s="20"/>
      <c r="C18" s="21"/>
      <c r="D18" s="22"/>
      <c r="E18" s="23">
        <f>IFERROR(IF(B18="","",IF(YEAR(B18)&lt;&gt;2026,"",MONTH(B18))),"")</f>
        <v/>
      </c>
      <c r="F18" s="24">
        <f>IF(E18="","",IF(INDEX('Cotações'!$E$6:$E$17,E18)="","",INDEX('Cotações'!$E$6:$E$17,E18)))</f>
        <v/>
      </c>
      <c r="G18" s="25">
        <f>IF(OR(F18="",NOT(ISNUMBER(D18))),"",ROUND(D18*F18,2))</f>
        <v/>
      </c>
      <c r="H18" s="26">
        <f>IF(AND(B18="",D18=""),"",IF(B18="","Falta a data",IF(IFERROR(YEAR(B18),0)&lt;&gt;2026,"Use uma data de 2026",IF(D18="","Falta o valor",IF(NOT(ISNUMBER(D18)),"O valor precisa ser um número",IF(F18="","Falta a cotação deste mês (aba Cotações)",""))))))</f>
        <v/>
      </c>
    </row>
    <row r="19" spans="2:8">
      <c r="B19" s="20"/>
      <c r="C19" s="21"/>
      <c r="D19" s="22"/>
      <c r="E19" s="23">
        <f>IFERROR(IF(B19="","",IF(YEAR(B19)&lt;&gt;2026,"",MONTH(B19))),"")</f>
        <v/>
      </c>
      <c r="F19" s="24">
        <f>IF(E19="","",IF(INDEX('Cotações'!$E$6:$E$17,E19)="","",INDEX('Cotações'!$E$6:$E$17,E19)))</f>
        <v/>
      </c>
      <c r="G19" s="25">
        <f>IF(OR(F19="",NOT(ISNUMBER(D19))),"",ROUND(D19*F19,2))</f>
        <v/>
      </c>
      <c r="H19" s="26">
        <f>IF(AND(B19="",D19=""),"",IF(B19="","Falta a data",IF(IFERROR(YEAR(B19),0)&lt;&gt;2026,"Use uma data de 2026",IF(D19="","Falta o valor",IF(NOT(ISNUMBER(D19)),"O valor precisa ser um número",IF(F19="","Falta a cotação deste mês (aba Cotações)",""))))))</f>
        <v/>
      </c>
    </row>
    <row r="20" spans="2:8">
      <c r="B20" s="20"/>
      <c r="C20" s="21"/>
      <c r="D20" s="22"/>
      <c r="E20" s="23">
        <f>IFERROR(IF(B20="","",IF(YEAR(B20)&lt;&gt;2026,"",MONTH(B20))),"")</f>
        <v/>
      </c>
      <c r="F20" s="24">
        <f>IF(E20="","",IF(INDEX('Cotações'!$E$6:$E$17,E20)="","",INDEX('Cotações'!$E$6:$E$17,E20)))</f>
        <v/>
      </c>
      <c r="G20" s="25">
        <f>IF(OR(F20="",NOT(ISNUMBER(D20))),"",ROUND(D20*F20,2))</f>
        <v/>
      </c>
      <c r="H20" s="26">
        <f>IF(AND(B20="",D20=""),"",IF(B20="","Falta a data",IF(IFERROR(YEAR(B20),0)&lt;&gt;2026,"Use uma data de 2026",IF(D20="","Falta o valor",IF(NOT(ISNUMBER(D20)),"O valor precisa ser um número",IF(F20="","Falta a cotação deste mês (aba Cotações)",""))))))</f>
        <v/>
      </c>
    </row>
    <row r="21" spans="2:8">
      <c r="B21" s="20"/>
      <c r="C21" s="21"/>
      <c r="D21" s="22"/>
      <c r="E21" s="23">
        <f>IFERROR(IF(B21="","",IF(YEAR(B21)&lt;&gt;2026,"",MONTH(B21))),"")</f>
        <v/>
      </c>
      <c r="F21" s="24">
        <f>IF(E21="","",IF(INDEX('Cotações'!$E$6:$E$17,E21)="","",INDEX('Cotações'!$E$6:$E$17,E21)))</f>
        <v/>
      </c>
      <c r="G21" s="25">
        <f>IF(OR(F21="",NOT(ISNUMBER(D21))),"",ROUND(D21*F21,2))</f>
        <v/>
      </c>
      <c r="H21" s="26">
        <f>IF(AND(B21="",D21=""),"",IF(B21="","Falta a data",IF(IFERROR(YEAR(B21),0)&lt;&gt;2026,"Use uma data de 2026",IF(D21="","Falta o valor",IF(NOT(ISNUMBER(D21)),"O valor precisa ser um número",IF(F21="","Falta a cotação deste mês (aba Cotações)",""))))))</f>
        <v/>
      </c>
    </row>
    <row r="22" spans="2:8">
      <c r="B22" s="20"/>
      <c r="C22" s="21"/>
      <c r="D22" s="22"/>
      <c r="E22" s="23">
        <f>IFERROR(IF(B22="","",IF(YEAR(B22)&lt;&gt;2026,"",MONTH(B22))),"")</f>
        <v/>
      </c>
      <c r="F22" s="24">
        <f>IF(E22="","",IF(INDEX('Cotações'!$E$6:$E$17,E22)="","",INDEX('Cotações'!$E$6:$E$17,E22)))</f>
        <v/>
      </c>
      <c r="G22" s="25">
        <f>IF(OR(F22="",NOT(ISNUMBER(D22))),"",ROUND(D22*F22,2))</f>
        <v/>
      </c>
      <c r="H22" s="26">
        <f>IF(AND(B22="",D22=""),"",IF(B22="","Falta a data",IF(IFERROR(YEAR(B22),0)&lt;&gt;2026,"Use uma data de 2026",IF(D22="","Falta o valor",IF(NOT(ISNUMBER(D22)),"O valor precisa ser um número",IF(F22="","Falta a cotação deste mês (aba Cotações)",""))))))</f>
        <v/>
      </c>
    </row>
    <row r="23" spans="2:8">
      <c r="B23" s="20"/>
      <c r="C23" s="21"/>
      <c r="D23" s="22"/>
      <c r="E23" s="23">
        <f>IFERROR(IF(B23="","",IF(YEAR(B23)&lt;&gt;2026,"",MONTH(B23))),"")</f>
        <v/>
      </c>
      <c r="F23" s="24">
        <f>IF(E23="","",IF(INDEX('Cotações'!$E$6:$E$17,E23)="","",INDEX('Cotações'!$E$6:$E$17,E23)))</f>
        <v/>
      </c>
      <c r="G23" s="25">
        <f>IF(OR(F23="",NOT(ISNUMBER(D23))),"",ROUND(D23*F23,2))</f>
        <v/>
      </c>
      <c r="H23" s="26">
        <f>IF(AND(B23="",D23=""),"",IF(B23="","Falta a data",IF(IFERROR(YEAR(B23),0)&lt;&gt;2026,"Use uma data de 2026",IF(D23="","Falta o valor",IF(NOT(ISNUMBER(D23)),"O valor precisa ser um número",IF(F23="","Falta a cotação deste mês (aba Cotações)",""))))))</f>
        <v/>
      </c>
    </row>
    <row r="24" spans="2:8">
      <c r="B24" s="20"/>
      <c r="C24" s="21"/>
      <c r="D24" s="22"/>
      <c r="E24" s="23">
        <f>IFERROR(IF(B24="","",IF(YEAR(B24)&lt;&gt;2026,"",MONTH(B24))),"")</f>
        <v/>
      </c>
      <c r="F24" s="24">
        <f>IF(E24="","",IF(INDEX('Cotações'!$E$6:$E$17,E24)="","",INDEX('Cotações'!$E$6:$E$17,E24)))</f>
        <v/>
      </c>
      <c r="G24" s="25">
        <f>IF(OR(F24="",NOT(ISNUMBER(D24))),"",ROUND(D24*F24,2))</f>
        <v/>
      </c>
      <c r="H24" s="26">
        <f>IF(AND(B24="",D24=""),"",IF(B24="","Falta a data",IF(IFERROR(YEAR(B24),0)&lt;&gt;2026,"Use uma data de 2026",IF(D24="","Falta o valor",IF(NOT(ISNUMBER(D24)),"O valor precisa ser um número",IF(F24="","Falta a cotação deste mês (aba Cotações)",""))))))</f>
        <v/>
      </c>
    </row>
    <row r="25" spans="2:8">
      <c r="B25" s="20"/>
      <c r="C25" s="21"/>
      <c r="D25" s="22"/>
      <c r="E25" s="23">
        <f>IFERROR(IF(B25="","",IF(YEAR(B25)&lt;&gt;2026,"",MONTH(B25))),"")</f>
        <v/>
      </c>
      <c r="F25" s="24">
        <f>IF(E25="","",IF(INDEX('Cotações'!$E$6:$E$17,E25)="","",INDEX('Cotações'!$E$6:$E$17,E25)))</f>
        <v/>
      </c>
      <c r="G25" s="25">
        <f>IF(OR(F25="",NOT(ISNUMBER(D25))),"",ROUND(D25*F25,2))</f>
        <v/>
      </c>
      <c r="H25" s="26">
        <f>IF(AND(B25="",D25=""),"",IF(B25="","Falta a data",IF(IFERROR(YEAR(B25),0)&lt;&gt;2026,"Use uma data de 2026",IF(D25="","Falta o valor",IF(NOT(ISNUMBER(D25)),"O valor precisa ser um número",IF(F25="","Falta a cotação deste mês (aba Cotações)",""))))))</f>
        <v/>
      </c>
    </row>
    <row r="26" spans="2:8">
      <c r="B26" s="20"/>
      <c r="C26" s="21"/>
      <c r="D26" s="22"/>
      <c r="E26" s="23">
        <f>IFERROR(IF(B26="","",IF(YEAR(B26)&lt;&gt;2026,"",MONTH(B26))),"")</f>
        <v/>
      </c>
      <c r="F26" s="24">
        <f>IF(E26="","",IF(INDEX('Cotações'!$E$6:$E$17,E26)="","",INDEX('Cotações'!$E$6:$E$17,E26)))</f>
        <v/>
      </c>
      <c r="G26" s="25">
        <f>IF(OR(F26="",NOT(ISNUMBER(D26))),"",ROUND(D26*F26,2))</f>
        <v/>
      </c>
      <c r="H26" s="26">
        <f>IF(AND(B26="",D26=""),"",IF(B26="","Falta a data",IF(IFERROR(YEAR(B26),0)&lt;&gt;2026,"Use uma data de 2026",IF(D26="","Falta o valor",IF(NOT(ISNUMBER(D26)),"O valor precisa ser um número",IF(F26="","Falta a cotação deste mês (aba Cotações)",""))))))</f>
        <v/>
      </c>
    </row>
    <row r="27" spans="2:8">
      <c r="B27" s="20"/>
      <c r="C27" s="21"/>
      <c r="D27" s="22"/>
      <c r="E27" s="23">
        <f>IFERROR(IF(B27="","",IF(YEAR(B27)&lt;&gt;2026,"",MONTH(B27))),"")</f>
        <v/>
      </c>
      <c r="F27" s="24">
        <f>IF(E27="","",IF(INDEX('Cotações'!$E$6:$E$17,E27)="","",INDEX('Cotações'!$E$6:$E$17,E27)))</f>
        <v/>
      </c>
      <c r="G27" s="25">
        <f>IF(OR(F27="",NOT(ISNUMBER(D27))),"",ROUND(D27*F27,2))</f>
        <v/>
      </c>
      <c r="H27" s="26">
        <f>IF(AND(B27="",D27=""),"",IF(B27="","Falta a data",IF(IFERROR(YEAR(B27),0)&lt;&gt;2026,"Use uma data de 2026",IF(D27="","Falta o valor",IF(NOT(ISNUMBER(D27)),"O valor precisa ser um número",IF(F27="","Falta a cotação deste mês (aba Cotações)",""))))))</f>
        <v/>
      </c>
    </row>
    <row r="28" spans="2:8">
      <c r="B28" s="20"/>
      <c r="C28" s="21"/>
      <c r="D28" s="22"/>
      <c r="E28" s="23">
        <f>IFERROR(IF(B28="","",IF(YEAR(B28)&lt;&gt;2026,"",MONTH(B28))),"")</f>
        <v/>
      </c>
      <c r="F28" s="24">
        <f>IF(E28="","",IF(INDEX('Cotações'!$E$6:$E$17,E28)="","",INDEX('Cotações'!$E$6:$E$17,E28)))</f>
        <v/>
      </c>
      <c r="G28" s="25">
        <f>IF(OR(F28="",NOT(ISNUMBER(D28))),"",ROUND(D28*F28,2))</f>
        <v/>
      </c>
      <c r="H28" s="26">
        <f>IF(AND(B28="",D28=""),"",IF(B28="","Falta a data",IF(IFERROR(YEAR(B28),0)&lt;&gt;2026,"Use uma data de 2026",IF(D28="","Falta o valor",IF(NOT(ISNUMBER(D28)),"O valor precisa ser um número",IF(F28="","Falta a cotação deste mês (aba Cotações)",""))))))</f>
        <v/>
      </c>
    </row>
    <row r="29" spans="2:8">
      <c r="B29" s="20"/>
      <c r="C29" s="21"/>
      <c r="D29" s="22"/>
      <c r="E29" s="23">
        <f>IFERROR(IF(B29="","",IF(YEAR(B29)&lt;&gt;2026,"",MONTH(B29))),"")</f>
        <v/>
      </c>
      <c r="F29" s="24">
        <f>IF(E29="","",IF(INDEX('Cotações'!$E$6:$E$17,E29)="","",INDEX('Cotações'!$E$6:$E$17,E29)))</f>
        <v/>
      </c>
      <c r="G29" s="25">
        <f>IF(OR(F29="",NOT(ISNUMBER(D29))),"",ROUND(D29*F29,2))</f>
        <v/>
      </c>
      <c r="H29" s="26">
        <f>IF(AND(B29="",D29=""),"",IF(B29="","Falta a data",IF(IFERROR(YEAR(B29),0)&lt;&gt;2026,"Use uma data de 2026",IF(D29="","Falta o valor",IF(NOT(ISNUMBER(D29)),"O valor precisa ser um número",IF(F29="","Falta a cotação deste mês (aba Cotações)",""))))))</f>
        <v/>
      </c>
    </row>
    <row r="30" spans="2:8">
      <c r="B30" s="20"/>
      <c r="C30" s="21"/>
      <c r="D30" s="22"/>
      <c r="E30" s="23">
        <f>IFERROR(IF(B30="","",IF(YEAR(B30)&lt;&gt;2026,"",MONTH(B30))),"")</f>
        <v/>
      </c>
      <c r="F30" s="24">
        <f>IF(E30="","",IF(INDEX('Cotações'!$E$6:$E$17,E30)="","",INDEX('Cotações'!$E$6:$E$17,E30)))</f>
        <v/>
      </c>
      <c r="G30" s="25">
        <f>IF(OR(F30="",NOT(ISNUMBER(D30))),"",ROUND(D30*F30,2))</f>
        <v/>
      </c>
      <c r="H30" s="26">
        <f>IF(AND(B30="",D30=""),"",IF(B30="","Falta a data",IF(IFERROR(YEAR(B30),0)&lt;&gt;2026,"Use uma data de 2026",IF(D30="","Falta o valor",IF(NOT(ISNUMBER(D30)),"O valor precisa ser um número",IF(F30="","Falta a cotação deste mês (aba Cotações)",""))))))</f>
        <v/>
      </c>
    </row>
    <row r="31" spans="2:8">
      <c r="B31" s="20"/>
      <c r="C31" s="21"/>
      <c r="D31" s="22"/>
      <c r="E31" s="23">
        <f>IFERROR(IF(B31="","",IF(YEAR(B31)&lt;&gt;2026,"",MONTH(B31))),"")</f>
        <v/>
      </c>
      <c r="F31" s="24">
        <f>IF(E31="","",IF(INDEX('Cotações'!$E$6:$E$17,E31)="","",INDEX('Cotações'!$E$6:$E$17,E31)))</f>
        <v/>
      </c>
      <c r="G31" s="25">
        <f>IF(OR(F31="",NOT(ISNUMBER(D31))),"",ROUND(D31*F31,2))</f>
        <v/>
      </c>
      <c r="H31" s="26">
        <f>IF(AND(B31="",D31=""),"",IF(B31="","Falta a data",IF(IFERROR(YEAR(B31),0)&lt;&gt;2026,"Use uma data de 2026",IF(D31="","Falta o valor",IF(NOT(ISNUMBER(D31)),"O valor precisa ser um número",IF(F31="","Falta a cotação deste mês (aba Cotações)",""))))))</f>
        <v/>
      </c>
    </row>
    <row r="32" spans="2:8">
      <c r="B32" s="20"/>
      <c r="C32" s="21"/>
      <c r="D32" s="22"/>
      <c r="E32" s="23">
        <f>IFERROR(IF(B32="","",IF(YEAR(B32)&lt;&gt;2026,"",MONTH(B32))),"")</f>
        <v/>
      </c>
      <c r="F32" s="24">
        <f>IF(E32="","",IF(INDEX('Cotações'!$E$6:$E$17,E32)="","",INDEX('Cotações'!$E$6:$E$17,E32)))</f>
        <v/>
      </c>
      <c r="G32" s="25">
        <f>IF(OR(F32="",NOT(ISNUMBER(D32))),"",ROUND(D32*F32,2))</f>
        <v/>
      </c>
      <c r="H32" s="26">
        <f>IF(AND(B32="",D32=""),"",IF(B32="","Falta a data",IF(IFERROR(YEAR(B32),0)&lt;&gt;2026,"Use uma data de 2026",IF(D32="","Falta o valor",IF(NOT(ISNUMBER(D32)),"O valor precisa ser um número",IF(F32="","Falta a cotação deste mês (aba Cotações)",""))))))</f>
        <v/>
      </c>
    </row>
    <row r="33" spans="2:8">
      <c r="B33" s="20"/>
      <c r="C33" s="21"/>
      <c r="D33" s="22"/>
      <c r="E33" s="23">
        <f>IFERROR(IF(B33="","",IF(YEAR(B33)&lt;&gt;2026,"",MONTH(B33))),"")</f>
        <v/>
      </c>
      <c r="F33" s="24">
        <f>IF(E33="","",IF(INDEX('Cotações'!$E$6:$E$17,E33)="","",INDEX('Cotações'!$E$6:$E$17,E33)))</f>
        <v/>
      </c>
      <c r="G33" s="25">
        <f>IF(OR(F33="",NOT(ISNUMBER(D33))),"",ROUND(D33*F33,2))</f>
        <v/>
      </c>
      <c r="H33" s="26">
        <f>IF(AND(B33="",D33=""),"",IF(B33="","Falta a data",IF(IFERROR(YEAR(B33),0)&lt;&gt;2026,"Use uma data de 2026",IF(D33="","Falta o valor",IF(NOT(ISNUMBER(D33)),"O valor precisa ser um número",IF(F33="","Falta a cotação deste mês (aba Cotações)",""))))))</f>
        <v/>
      </c>
    </row>
    <row r="34" spans="2:8">
      <c r="B34" s="20"/>
      <c r="C34" s="21"/>
      <c r="D34" s="22"/>
      <c r="E34" s="23">
        <f>IFERROR(IF(B34="","",IF(YEAR(B34)&lt;&gt;2026,"",MONTH(B34))),"")</f>
        <v/>
      </c>
      <c r="F34" s="24">
        <f>IF(E34="","",IF(INDEX('Cotações'!$E$6:$E$17,E34)="","",INDEX('Cotações'!$E$6:$E$17,E34)))</f>
        <v/>
      </c>
      <c r="G34" s="25">
        <f>IF(OR(F34="",NOT(ISNUMBER(D34))),"",ROUND(D34*F34,2))</f>
        <v/>
      </c>
      <c r="H34" s="26">
        <f>IF(AND(B34="",D34=""),"",IF(B34="","Falta a data",IF(IFERROR(YEAR(B34),0)&lt;&gt;2026,"Use uma data de 2026",IF(D34="","Falta o valor",IF(NOT(ISNUMBER(D34)),"O valor precisa ser um número",IF(F34="","Falta a cotação deste mês (aba Cotações)",""))))))</f>
        <v/>
      </c>
    </row>
    <row r="35" spans="2:8">
      <c r="B35" s="20"/>
      <c r="C35" s="21"/>
      <c r="D35" s="22"/>
      <c r="E35" s="23">
        <f>IFERROR(IF(B35="","",IF(YEAR(B35)&lt;&gt;2026,"",MONTH(B35))),"")</f>
        <v/>
      </c>
      <c r="F35" s="24">
        <f>IF(E35="","",IF(INDEX('Cotações'!$E$6:$E$17,E35)="","",INDEX('Cotações'!$E$6:$E$17,E35)))</f>
        <v/>
      </c>
      <c r="G35" s="25">
        <f>IF(OR(F35="",NOT(ISNUMBER(D35))),"",ROUND(D35*F35,2))</f>
        <v/>
      </c>
      <c r="H35" s="26">
        <f>IF(AND(B35="",D35=""),"",IF(B35="","Falta a data",IF(IFERROR(YEAR(B35),0)&lt;&gt;2026,"Use uma data de 2026",IF(D35="","Falta o valor",IF(NOT(ISNUMBER(D35)),"O valor precisa ser um número",IF(F35="","Falta a cotação deste mês (aba Cotações)",""))))))</f>
        <v/>
      </c>
    </row>
    <row r="36" spans="2:8">
      <c r="B36" s="20"/>
      <c r="C36" s="21"/>
      <c r="D36" s="22"/>
      <c r="E36" s="23">
        <f>IFERROR(IF(B36="","",IF(YEAR(B36)&lt;&gt;2026,"",MONTH(B36))),"")</f>
        <v/>
      </c>
      <c r="F36" s="24">
        <f>IF(E36="","",IF(INDEX('Cotações'!$E$6:$E$17,E36)="","",INDEX('Cotações'!$E$6:$E$17,E36)))</f>
        <v/>
      </c>
      <c r="G36" s="25">
        <f>IF(OR(F36="",NOT(ISNUMBER(D36))),"",ROUND(D36*F36,2))</f>
        <v/>
      </c>
      <c r="H36" s="26">
        <f>IF(AND(B36="",D36=""),"",IF(B36="","Falta a data",IF(IFERROR(YEAR(B36),0)&lt;&gt;2026,"Use uma data de 2026",IF(D36="","Falta o valor",IF(NOT(ISNUMBER(D36)),"O valor precisa ser um número",IF(F36="","Falta a cotação deste mês (aba Cotações)",""))))))</f>
        <v/>
      </c>
    </row>
    <row r="37" spans="2:8">
      <c r="B37" s="20"/>
      <c r="C37" s="21"/>
      <c r="D37" s="22"/>
      <c r="E37" s="23">
        <f>IFERROR(IF(B37="","",IF(YEAR(B37)&lt;&gt;2026,"",MONTH(B37))),"")</f>
        <v/>
      </c>
      <c r="F37" s="24">
        <f>IF(E37="","",IF(INDEX('Cotações'!$E$6:$E$17,E37)="","",INDEX('Cotações'!$E$6:$E$17,E37)))</f>
        <v/>
      </c>
      <c r="G37" s="25">
        <f>IF(OR(F37="",NOT(ISNUMBER(D37))),"",ROUND(D37*F37,2))</f>
        <v/>
      </c>
      <c r="H37" s="26">
        <f>IF(AND(B37="",D37=""),"",IF(B37="","Falta a data",IF(IFERROR(YEAR(B37),0)&lt;&gt;2026,"Use uma data de 2026",IF(D37="","Falta o valor",IF(NOT(ISNUMBER(D37)),"O valor precisa ser um número",IF(F37="","Falta a cotação deste mês (aba Cotações)",""))))))</f>
        <v/>
      </c>
    </row>
    <row r="38" spans="2:8">
      <c r="B38" s="20"/>
      <c r="C38" s="21"/>
      <c r="D38" s="22"/>
      <c r="E38" s="23">
        <f>IFERROR(IF(B38="","",IF(YEAR(B38)&lt;&gt;2026,"",MONTH(B38))),"")</f>
        <v/>
      </c>
      <c r="F38" s="24">
        <f>IF(E38="","",IF(INDEX('Cotações'!$E$6:$E$17,E38)="","",INDEX('Cotações'!$E$6:$E$17,E38)))</f>
        <v/>
      </c>
      <c r="G38" s="25">
        <f>IF(OR(F38="",NOT(ISNUMBER(D38))),"",ROUND(D38*F38,2))</f>
        <v/>
      </c>
      <c r="H38" s="26">
        <f>IF(AND(B38="",D38=""),"",IF(B38="","Falta a data",IF(IFERROR(YEAR(B38),0)&lt;&gt;2026,"Use uma data de 2026",IF(D38="","Falta o valor",IF(NOT(ISNUMBER(D38)),"O valor precisa ser um número",IF(F38="","Falta a cotação deste mês (aba Cotações)",""))))))</f>
        <v/>
      </c>
    </row>
    <row r="39" spans="2:8">
      <c r="B39" s="20"/>
      <c r="C39" s="21"/>
      <c r="D39" s="22"/>
      <c r="E39" s="23">
        <f>IFERROR(IF(B39="","",IF(YEAR(B39)&lt;&gt;2026,"",MONTH(B39))),"")</f>
        <v/>
      </c>
      <c r="F39" s="24">
        <f>IF(E39="","",IF(INDEX('Cotações'!$E$6:$E$17,E39)="","",INDEX('Cotações'!$E$6:$E$17,E39)))</f>
        <v/>
      </c>
      <c r="G39" s="25">
        <f>IF(OR(F39="",NOT(ISNUMBER(D39))),"",ROUND(D39*F39,2))</f>
        <v/>
      </c>
      <c r="H39" s="26">
        <f>IF(AND(B39="",D39=""),"",IF(B39="","Falta a data",IF(IFERROR(YEAR(B39),0)&lt;&gt;2026,"Use uma data de 2026",IF(D39="","Falta o valor",IF(NOT(ISNUMBER(D39)),"O valor precisa ser um número",IF(F39="","Falta a cotação deste mês (aba Cotações)",""))))))</f>
        <v/>
      </c>
    </row>
    <row r="40" spans="2:8">
      <c r="B40" s="20"/>
      <c r="C40" s="21"/>
      <c r="D40" s="22"/>
      <c r="E40" s="23">
        <f>IFERROR(IF(B40="","",IF(YEAR(B40)&lt;&gt;2026,"",MONTH(B40))),"")</f>
        <v/>
      </c>
      <c r="F40" s="24">
        <f>IF(E40="","",IF(INDEX('Cotações'!$E$6:$E$17,E40)="","",INDEX('Cotações'!$E$6:$E$17,E40)))</f>
        <v/>
      </c>
      <c r="G40" s="25">
        <f>IF(OR(F40="",NOT(ISNUMBER(D40))),"",ROUND(D40*F40,2))</f>
        <v/>
      </c>
      <c r="H40" s="26">
        <f>IF(AND(B40="",D40=""),"",IF(B40="","Falta a data",IF(IFERROR(YEAR(B40),0)&lt;&gt;2026,"Use uma data de 2026",IF(D40="","Falta o valor",IF(NOT(ISNUMBER(D40)),"O valor precisa ser um número",IF(F40="","Falta a cotação deste mês (aba Cotações)",""))))))</f>
        <v/>
      </c>
    </row>
    <row r="41" spans="2:8">
      <c r="B41" s="20"/>
      <c r="C41" s="21"/>
      <c r="D41" s="22"/>
      <c r="E41" s="23">
        <f>IFERROR(IF(B41="","",IF(YEAR(B41)&lt;&gt;2026,"",MONTH(B41))),"")</f>
        <v/>
      </c>
      <c r="F41" s="24">
        <f>IF(E41="","",IF(INDEX('Cotações'!$E$6:$E$17,E41)="","",INDEX('Cotações'!$E$6:$E$17,E41)))</f>
        <v/>
      </c>
      <c r="G41" s="25">
        <f>IF(OR(F41="",NOT(ISNUMBER(D41))),"",ROUND(D41*F41,2))</f>
        <v/>
      </c>
      <c r="H41" s="26">
        <f>IF(AND(B41="",D41=""),"",IF(B41="","Falta a data",IF(IFERROR(YEAR(B41),0)&lt;&gt;2026,"Use uma data de 2026",IF(D41="","Falta o valor",IF(NOT(ISNUMBER(D41)),"O valor precisa ser um número",IF(F41="","Falta a cotação deste mês (aba Cotações)",""))))))</f>
        <v/>
      </c>
    </row>
    <row r="42" spans="2:8">
      <c r="B42" s="20"/>
      <c r="C42" s="21"/>
      <c r="D42" s="22"/>
      <c r="E42" s="23">
        <f>IFERROR(IF(B42="","",IF(YEAR(B42)&lt;&gt;2026,"",MONTH(B42))),"")</f>
        <v/>
      </c>
      <c r="F42" s="24">
        <f>IF(E42="","",IF(INDEX('Cotações'!$E$6:$E$17,E42)="","",INDEX('Cotações'!$E$6:$E$17,E42)))</f>
        <v/>
      </c>
      <c r="G42" s="25">
        <f>IF(OR(F42="",NOT(ISNUMBER(D42))),"",ROUND(D42*F42,2))</f>
        <v/>
      </c>
      <c r="H42" s="26">
        <f>IF(AND(B42="",D42=""),"",IF(B42="","Falta a data",IF(IFERROR(YEAR(B42),0)&lt;&gt;2026,"Use uma data de 2026",IF(D42="","Falta o valor",IF(NOT(ISNUMBER(D42)),"O valor precisa ser um número",IF(F42="","Falta a cotação deste mês (aba Cotações)",""))))))</f>
        <v/>
      </c>
    </row>
    <row r="43" spans="2:8">
      <c r="B43" s="20"/>
      <c r="C43" s="21"/>
      <c r="D43" s="22"/>
      <c r="E43" s="23">
        <f>IFERROR(IF(B43="","",IF(YEAR(B43)&lt;&gt;2026,"",MONTH(B43))),"")</f>
        <v/>
      </c>
      <c r="F43" s="24">
        <f>IF(E43="","",IF(INDEX('Cotações'!$E$6:$E$17,E43)="","",INDEX('Cotações'!$E$6:$E$17,E43)))</f>
        <v/>
      </c>
      <c r="G43" s="25">
        <f>IF(OR(F43="",NOT(ISNUMBER(D43))),"",ROUND(D43*F43,2))</f>
        <v/>
      </c>
      <c r="H43" s="26">
        <f>IF(AND(B43="",D43=""),"",IF(B43="","Falta a data",IF(IFERROR(YEAR(B43),0)&lt;&gt;2026,"Use uma data de 2026",IF(D43="","Falta o valor",IF(NOT(ISNUMBER(D43)),"O valor precisa ser um número",IF(F43="","Falta a cotação deste mês (aba Cotações)",""))))))</f>
        <v/>
      </c>
    </row>
    <row r="44" spans="2:8">
      <c r="B44" s="20"/>
      <c r="C44" s="21"/>
      <c r="D44" s="22"/>
      <c r="E44" s="23">
        <f>IFERROR(IF(B44="","",IF(YEAR(B44)&lt;&gt;2026,"",MONTH(B44))),"")</f>
        <v/>
      </c>
      <c r="F44" s="24">
        <f>IF(E44="","",IF(INDEX('Cotações'!$E$6:$E$17,E44)="","",INDEX('Cotações'!$E$6:$E$17,E44)))</f>
        <v/>
      </c>
      <c r="G44" s="25">
        <f>IF(OR(F44="",NOT(ISNUMBER(D44))),"",ROUND(D44*F44,2))</f>
        <v/>
      </c>
      <c r="H44" s="26">
        <f>IF(AND(B44="",D44=""),"",IF(B44="","Falta a data",IF(IFERROR(YEAR(B44),0)&lt;&gt;2026,"Use uma data de 2026",IF(D44="","Falta o valor",IF(NOT(ISNUMBER(D44)),"O valor precisa ser um número",IF(F44="","Falta a cotação deste mês (aba Cotações)",""))))))</f>
        <v/>
      </c>
    </row>
    <row r="45" spans="2:8">
      <c r="B45" s="20"/>
      <c r="C45" s="21"/>
      <c r="D45" s="22"/>
      <c r="E45" s="23">
        <f>IFERROR(IF(B45="","",IF(YEAR(B45)&lt;&gt;2026,"",MONTH(B45))),"")</f>
        <v/>
      </c>
      <c r="F45" s="24">
        <f>IF(E45="","",IF(INDEX('Cotações'!$E$6:$E$17,E45)="","",INDEX('Cotações'!$E$6:$E$17,E45)))</f>
        <v/>
      </c>
      <c r="G45" s="25">
        <f>IF(OR(F45="",NOT(ISNUMBER(D45))),"",ROUND(D45*F45,2))</f>
        <v/>
      </c>
      <c r="H45" s="26">
        <f>IF(AND(B45="",D45=""),"",IF(B45="","Falta a data",IF(IFERROR(YEAR(B45),0)&lt;&gt;2026,"Use uma data de 2026",IF(D45="","Falta o valor",IF(NOT(ISNUMBER(D45)),"O valor precisa ser um número",IF(F45="","Falta a cotação deste mês (aba Cotações)",""))))))</f>
        <v/>
      </c>
    </row>
    <row r="46" spans="2:8">
      <c r="B46" s="20"/>
      <c r="C46" s="21"/>
      <c r="D46" s="22"/>
      <c r="E46" s="23">
        <f>IFERROR(IF(B46="","",IF(YEAR(B46)&lt;&gt;2026,"",MONTH(B46))),"")</f>
        <v/>
      </c>
      <c r="F46" s="24">
        <f>IF(E46="","",IF(INDEX('Cotações'!$E$6:$E$17,E46)="","",INDEX('Cotações'!$E$6:$E$17,E46)))</f>
        <v/>
      </c>
      <c r="G46" s="25">
        <f>IF(OR(F46="",NOT(ISNUMBER(D46))),"",ROUND(D46*F46,2))</f>
        <v/>
      </c>
      <c r="H46" s="26">
        <f>IF(AND(B46="",D46=""),"",IF(B46="","Falta a data",IF(IFERROR(YEAR(B46),0)&lt;&gt;2026,"Use uma data de 2026",IF(D46="","Falta o valor",IF(NOT(ISNUMBER(D46)),"O valor precisa ser um número",IF(F46="","Falta a cotação deste mês (aba Cotações)",""))))))</f>
        <v/>
      </c>
    </row>
    <row r="47" spans="2:8">
      <c r="B47" s="20"/>
      <c r="C47" s="21"/>
      <c r="D47" s="22"/>
      <c r="E47" s="23">
        <f>IFERROR(IF(B47="","",IF(YEAR(B47)&lt;&gt;2026,"",MONTH(B47))),"")</f>
        <v/>
      </c>
      <c r="F47" s="24">
        <f>IF(E47="","",IF(INDEX('Cotações'!$E$6:$E$17,E47)="","",INDEX('Cotações'!$E$6:$E$17,E47)))</f>
        <v/>
      </c>
      <c r="G47" s="25">
        <f>IF(OR(F47="",NOT(ISNUMBER(D47))),"",ROUND(D47*F47,2))</f>
        <v/>
      </c>
      <c r="H47" s="26">
        <f>IF(AND(B47="",D47=""),"",IF(B47="","Falta a data",IF(IFERROR(YEAR(B47),0)&lt;&gt;2026,"Use uma data de 2026",IF(D47="","Falta o valor",IF(NOT(ISNUMBER(D47)),"O valor precisa ser um número",IF(F47="","Falta a cotação deste mês (aba Cotações)",""))))))</f>
        <v/>
      </c>
    </row>
    <row r="48" spans="2:8">
      <c r="B48" s="20"/>
      <c r="C48" s="21"/>
      <c r="D48" s="22"/>
      <c r="E48" s="23">
        <f>IFERROR(IF(B48="","",IF(YEAR(B48)&lt;&gt;2026,"",MONTH(B48))),"")</f>
        <v/>
      </c>
      <c r="F48" s="24">
        <f>IF(E48="","",IF(INDEX('Cotações'!$E$6:$E$17,E48)="","",INDEX('Cotações'!$E$6:$E$17,E48)))</f>
        <v/>
      </c>
      <c r="G48" s="25">
        <f>IF(OR(F48="",NOT(ISNUMBER(D48))),"",ROUND(D48*F48,2))</f>
        <v/>
      </c>
      <c r="H48" s="26">
        <f>IF(AND(B48="",D48=""),"",IF(B48="","Falta a data",IF(IFERROR(YEAR(B48),0)&lt;&gt;2026,"Use uma data de 2026",IF(D48="","Falta o valor",IF(NOT(ISNUMBER(D48)),"O valor precisa ser um número",IF(F48="","Falta a cotação deste mês (aba Cotações)",""))))))</f>
        <v/>
      </c>
    </row>
    <row r="49" spans="2:8">
      <c r="B49" s="20"/>
      <c r="C49" s="21"/>
      <c r="D49" s="22"/>
      <c r="E49" s="23">
        <f>IFERROR(IF(B49="","",IF(YEAR(B49)&lt;&gt;2026,"",MONTH(B49))),"")</f>
        <v/>
      </c>
      <c r="F49" s="24">
        <f>IF(E49="","",IF(INDEX('Cotações'!$E$6:$E$17,E49)="","",INDEX('Cotações'!$E$6:$E$17,E49)))</f>
        <v/>
      </c>
      <c r="G49" s="25">
        <f>IF(OR(F49="",NOT(ISNUMBER(D49))),"",ROUND(D49*F49,2))</f>
        <v/>
      </c>
      <c r="H49" s="26">
        <f>IF(AND(B49="",D49=""),"",IF(B49="","Falta a data",IF(IFERROR(YEAR(B49),0)&lt;&gt;2026,"Use uma data de 2026",IF(D49="","Falta o valor",IF(NOT(ISNUMBER(D49)),"O valor precisa ser um número",IF(F49="","Falta a cotação deste mês (aba Cotações)",""))))))</f>
        <v/>
      </c>
    </row>
    <row r="50" spans="2:8">
      <c r="B50" s="20"/>
      <c r="C50" s="21"/>
      <c r="D50" s="22"/>
      <c r="E50" s="23">
        <f>IFERROR(IF(B50="","",IF(YEAR(B50)&lt;&gt;2026,"",MONTH(B50))),"")</f>
        <v/>
      </c>
      <c r="F50" s="24">
        <f>IF(E50="","",IF(INDEX('Cotações'!$E$6:$E$17,E50)="","",INDEX('Cotações'!$E$6:$E$17,E50)))</f>
        <v/>
      </c>
      <c r="G50" s="25">
        <f>IF(OR(F50="",NOT(ISNUMBER(D50))),"",ROUND(D50*F50,2))</f>
        <v/>
      </c>
      <c r="H50" s="26">
        <f>IF(AND(B50="",D50=""),"",IF(B50="","Falta a data",IF(IFERROR(YEAR(B50),0)&lt;&gt;2026,"Use uma data de 2026",IF(D50="","Falta o valor",IF(NOT(ISNUMBER(D50)),"O valor precisa ser um número",IF(F50="","Falta a cotação deste mês (aba Cotações)",""))))))</f>
        <v/>
      </c>
    </row>
    <row r="51" spans="2:8">
      <c r="B51" s="20"/>
      <c r="C51" s="21"/>
      <c r="D51" s="22"/>
      <c r="E51" s="23">
        <f>IFERROR(IF(B51="","",IF(YEAR(B51)&lt;&gt;2026,"",MONTH(B51))),"")</f>
        <v/>
      </c>
      <c r="F51" s="24">
        <f>IF(E51="","",IF(INDEX('Cotações'!$E$6:$E$17,E51)="","",INDEX('Cotações'!$E$6:$E$17,E51)))</f>
        <v/>
      </c>
      <c r="G51" s="25">
        <f>IF(OR(F51="",NOT(ISNUMBER(D51))),"",ROUND(D51*F51,2))</f>
        <v/>
      </c>
      <c r="H51" s="26">
        <f>IF(AND(B51="",D51=""),"",IF(B51="","Falta a data",IF(IFERROR(YEAR(B51),0)&lt;&gt;2026,"Use uma data de 2026",IF(D51="","Falta o valor",IF(NOT(ISNUMBER(D51)),"O valor precisa ser um número",IF(F51="","Falta a cotação deste mês (aba Cotações)",""))))))</f>
        <v/>
      </c>
    </row>
    <row r="52" spans="2:8">
      <c r="B52" s="20"/>
      <c r="C52" s="21"/>
      <c r="D52" s="22"/>
      <c r="E52" s="23">
        <f>IFERROR(IF(B52="","",IF(YEAR(B52)&lt;&gt;2026,"",MONTH(B52))),"")</f>
        <v/>
      </c>
      <c r="F52" s="24">
        <f>IF(E52="","",IF(INDEX('Cotações'!$E$6:$E$17,E52)="","",INDEX('Cotações'!$E$6:$E$17,E52)))</f>
        <v/>
      </c>
      <c r="G52" s="25">
        <f>IF(OR(F52="",NOT(ISNUMBER(D52))),"",ROUND(D52*F52,2))</f>
        <v/>
      </c>
      <c r="H52" s="26">
        <f>IF(AND(B52="",D52=""),"",IF(B52="","Falta a data",IF(IFERROR(YEAR(B52),0)&lt;&gt;2026,"Use uma data de 2026",IF(D52="","Falta o valor",IF(NOT(ISNUMBER(D52)),"O valor precisa ser um número",IF(F52="","Falta a cotação deste mês (aba Cotações)",""))))))</f>
        <v/>
      </c>
    </row>
    <row r="53" spans="2:8">
      <c r="B53" s="20"/>
      <c r="C53" s="21"/>
      <c r="D53" s="22"/>
      <c r="E53" s="23">
        <f>IFERROR(IF(B53="","",IF(YEAR(B53)&lt;&gt;2026,"",MONTH(B53))),"")</f>
        <v/>
      </c>
      <c r="F53" s="24">
        <f>IF(E53="","",IF(INDEX('Cotações'!$E$6:$E$17,E53)="","",INDEX('Cotações'!$E$6:$E$17,E53)))</f>
        <v/>
      </c>
      <c r="G53" s="25">
        <f>IF(OR(F53="",NOT(ISNUMBER(D53))),"",ROUND(D53*F53,2))</f>
        <v/>
      </c>
      <c r="H53" s="26">
        <f>IF(AND(B53="",D53=""),"",IF(B53="","Falta a data",IF(IFERROR(YEAR(B53),0)&lt;&gt;2026,"Use uma data de 2026",IF(D53="","Falta o valor",IF(NOT(ISNUMBER(D53)),"O valor precisa ser um número",IF(F53="","Falta a cotação deste mês (aba Cotações)",""))))))</f>
        <v/>
      </c>
    </row>
    <row r="54" spans="2:8">
      <c r="B54" s="20"/>
      <c r="C54" s="21"/>
      <c r="D54" s="22"/>
      <c r="E54" s="23">
        <f>IFERROR(IF(B54="","",IF(YEAR(B54)&lt;&gt;2026,"",MONTH(B54))),"")</f>
        <v/>
      </c>
      <c r="F54" s="24">
        <f>IF(E54="","",IF(INDEX('Cotações'!$E$6:$E$17,E54)="","",INDEX('Cotações'!$E$6:$E$17,E54)))</f>
        <v/>
      </c>
      <c r="G54" s="25">
        <f>IF(OR(F54="",NOT(ISNUMBER(D54))),"",ROUND(D54*F54,2))</f>
        <v/>
      </c>
      <c r="H54" s="26">
        <f>IF(AND(B54="",D54=""),"",IF(B54="","Falta a data",IF(IFERROR(YEAR(B54),0)&lt;&gt;2026,"Use uma data de 2026",IF(D54="","Falta o valor",IF(NOT(ISNUMBER(D54)),"O valor precisa ser um número",IF(F54="","Falta a cotação deste mês (aba Cotações)",""))))))</f>
        <v/>
      </c>
    </row>
    <row r="55" spans="2:8">
      <c r="B55" s="20"/>
      <c r="C55" s="21"/>
      <c r="D55" s="22"/>
      <c r="E55" s="23">
        <f>IFERROR(IF(B55="","",IF(YEAR(B55)&lt;&gt;2026,"",MONTH(B55))),"")</f>
        <v/>
      </c>
      <c r="F55" s="24">
        <f>IF(E55="","",IF(INDEX('Cotações'!$E$6:$E$17,E55)="","",INDEX('Cotações'!$E$6:$E$17,E55)))</f>
        <v/>
      </c>
      <c r="G55" s="25">
        <f>IF(OR(F55="",NOT(ISNUMBER(D55))),"",ROUND(D55*F55,2))</f>
        <v/>
      </c>
      <c r="H55" s="26">
        <f>IF(AND(B55="",D55=""),"",IF(B55="","Falta a data",IF(IFERROR(YEAR(B55),0)&lt;&gt;2026,"Use uma data de 2026",IF(D55="","Falta o valor",IF(NOT(ISNUMBER(D55)),"O valor precisa ser um número",IF(F55="","Falta a cotação deste mês (aba Cotações)",""))))))</f>
        <v/>
      </c>
    </row>
    <row r="56" spans="2:8">
      <c r="B56" s="20"/>
      <c r="C56" s="21"/>
      <c r="D56" s="22"/>
      <c r="E56" s="23">
        <f>IFERROR(IF(B56="","",IF(YEAR(B56)&lt;&gt;2026,"",MONTH(B56))),"")</f>
        <v/>
      </c>
      <c r="F56" s="24">
        <f>IF(E56="","",IF(INDEX('Cotações'!$E$6:$E$17,E56)="","",INDEX('Cotações'!$E$6:$E$17,E56)))</f>
        <v/>
      </c>
      <c r="G56" s="25">
        <f>IF(OR(F56="",NOT(ISNUMBER(D56))),"",ROUND(D56*F56,2))</f>
        <v/>
      </c>
      <c r="H56" s="26">
        <f>IF(AND(B56="",D56=""),"",IF(B56="","Falta a data",IF(IFERROR(YEAR(B56),0)&lt;&gt;2026,"Use uma data de 2026",IF(D56="","Falta o valor",IF(NOT(ISNUMBER(D56)),"O valor precisa ser um número",IF(F56="","Falta a cotação deste mês (aba Cotações)",""))))))</f>
        <v/>
      </c>
    </row>
    <row r="57" spans="2:8">
      <c r="B57" s="20"/>
      <c r="C57" s="21"/>
      <c r="D57" s="22"/>
      <c r="E57" s="23">
        <f>IFERROR(IF(B57="","",IF(YEAR(B57)&lt;&gt;2026,"",MONTH(B57))),"")</f>
        <v/>
      </c>
      <c r="F57" s="24">
        <f>IF(E57="","",IF(INDEX('Cotações'!$E$6:$E$17,E57)="","",INDEX('Cotações'!$E$6:$E$17,E57)))</f>
        <v/>
      </c>
      <c r="G57" s="25">
        <f>IF(OR(F57="",NOT(ISNUMBER(D57))),"",ROUND(D57*F57,2))</f>
        <v/>
      </c>
      <c r="H57" s="26">
        <f>IF(AND(B57="",D57=""),"",IF(B57="","Falta a data",IF(IFERROR(YEAR(B57),0)&lt;&gt;2026,"Use uma data de 2026",IF(D57="","Falta o valor",IF(NOT(ISNUMBER(D57)),"O valor precisa ser um número",IF(F57="","Falta a cotação deste mês (aba Cotações)",""))))))</f>
        <v/>
      </c>
    </row>
    <row r="58" spans="2:8">
      <c r="B58" s="20"/>
      <c r="C58" s="21"/>
      <c r="D58" s="22"/>
      <c r="E58" s="23">
        <f>IFERROR(IF(B58="","",IF(YEAR(B58)&lt;&gt;2026,"",MONTH(B58))),"")</f>
        <v/>
      </c>
      <c r="F58" s="24">
        <f>IF(E58="","",IF(INDEX('Cotações'!$E$6:$E$17,E58)="","",INDEX('Cotações'!$E$6:$E$17,E58)))</f>
        <v/>
      </c>
      <c r="G58" s="25">
        <f>IF(OR(F58="",NOT(ISNUMBER(D58))),"",ROUND(D58*F58,2))</f>
        <v/>
      </c>
      <c r="H58" s="26">
        <f>IF(AND(B58="",D58=""),"",IF(B58="","Falta a data",IF(IFERROR(YEAR(B58),0)&lt;&gt;2026,"Use uma data de 2026",IF(D58="","Falta o valor",IF(NOT(ISNUMBER(D58)),"O valor precisa ser um número",IF(F58="","Falta a cotação deste mês (aba Cotações)",""))))))</f>
        <v/>
      </c>
    </row>
    <row r="59" spans="2:8">
      <c r="B59" s="20"/>
      <c r="C59" s="21"/>
      <c r="D59" s="22"/>
      <c r="E59" s="23">
        <f>IFERROR(IF(B59="","",IF(YEAR(B59)&lt;&gt;2026,"",MONTH(B59))),"")</f>
        <v/>
      </c>
      <c r="F59" s="24">
        <f>IF(E59="","",IF(INDEX('Cotações'!$E$6:$E$17,E59)="","",INDEX('Cotações'!$E$6:$E$17,E59)))</f>
        <v/>
      </c>
      <c r="G59" s="25">
        <f>IF(OR(F59="",NOT(ISNUMBER(D59))),"",ROUND(D59*F59,2))</f>
        <v/>
      </c>
      <c r="H59" s="26">
        <f>IF(AND(B59="",D59=""),"",IF(B59="","Falta a data",IF(IFERROR(YEAR(B59),0)&lt;&gt;2026,"Use uma data de 2026",IF(D59="","Falta o valor",IF(NOT(ISNUMBER(D59)),"O valor precisa ser um número",IF(F59="","Falta a cotação deste mês (aba Cotações)",""))))))</f>
        <v/>
      </c>
    </row>
    <row r="60" spans="2:8">
      <c r="B60" s="20"/>
      <c r="C60" s="21"/>
      <c r="D60" s="22"/>
      <c r="E60" s="23">
        <f>IFERROR(IF(B60="","",IF(YEAR(B60)&lt;&gt;2026,"",MONTH(B60))),"")</f>
        <v/>
      </c>
      <c r="F60" s="24">
        <f>IF(E60="","",IF(INDEX('Cotações'!$E$6:$E$17,E60)="","",INDEX('Cotações'!$E$6:$E$17,E60)))</f>
        <v/>
      </c>
      <c r="G60" s="25">
        <f>IF(OR(F60="",NOT(ISNUMBER(D60))),"",ROUND(D60*F60,2))</f>
        <v/>
      </c>
      <c r="H60" s="26">
        <f>IF(AND(B60="",D60=""),"",IF(B60="","Falta a data",IF(IFERROR(YEAR(B60),0)&lt;&gt;2026,"Use uma data de 2026",IF(D60="","Falta o valor",IF(NOT(ISNUMBER(D60)),"O valor precisa ser um número",IF(F60="","Falta a cotação deste mês (aba Cotações)",""))))))</f>
        <v/>
      </c>
    </row>
    <row r="61" spans="2:8">
      <c r="B61" s="20"/>
      <c r="C61" s="21"/>
      <c r="D61" s="22"/>
      <c r="E61" s="23">
        <f>IFERROR(IF(B61="","",IF(YEAR(B61)&lt;&gt;2026,"",MONTH(B61))),"")</f>
        <v/>
      </c>
      <c r="F61" s="24">
        <f>IF(E61="","",IF(INDEX('Cotações'!$E$6:$E$17,E61)="","",INDEX('Cotações'!$E$6:$E$17,E61)))</f>
        <v/>
      </c>
      <c r="G61" s="25">
        <f>IF(OR(F61="",NOT(ISNUMBER(D61))),"",ROUND(D61*F61,2))</f>
        <v/>
      </c>
      <c r="H61" s="26">
        <f>IF(AND(B61="",D61=""),"",IF(B61="","Falta a data",IF(IFERROR(YEAR(B61),0)&lt;&gt;2026,"Use uma data de 2026",IF(D61="","Falta o valor",IF(NOT(ISNUMBER(D61)),"O valor precisa ser um número",IF(F61="","Falta a cotação deste mês (aba Cotações)",""))))))</f>
        <v/>
      </c>
    </row>
    <row r="62" spans="2:8">
      <c r="B62" s="20"/>
      <c r="C62" s="21"/>
      <c r="D62" s="22"/>
      <c r="E62" s="23">
        <f>IFERROR(IF(B62="","",IF(YEAR(B62)&lt;&gt;2026,"",MONTH(B62))),"")</f>
        <v/>
      </c>
      <c r="F62" s="24">
        <f>IF(E62="","",IF(INDEX('Cotações'!$E$6:$E$17,E62)="","",INDEX('Cotações'!$E$6:$E$17,E62)))</f>
        <v/>
      </c>
      <c r="G62" s="25">
        <f>IF(OR(F62="",NOT(ISNUMBER(D62))),"",ROUND(D62*F62,2))</f>
        <v/>
      </c>
      <c r="H62" s="26">
        <f>IF(AND(B62="",D62=""),"",IF(B62="","Falta a data",IF(IFERROR(YEAR(B62),0)&lt;&gt;2026,"Use uma data de 2026",IF(D62="","Falta o valor",IF(NOT(ISNUMBER(D62)),"O valor precisa ser um número",IF(F62="","Falta a cotação deste mês (aba Cotações)",""))))))</f>
        <v/>
      </c>
    </row>
    <row r="63" spans="2:8">
      <c r="B63" s="20"/>
      <c r="C63" s="21"/>
      <c r="D63" s="22"/>
      <c r="E63" s="23">
        <f>IFERROR(IF(B63="","",IF(YEAR(B63)&lt;&gt;2026,"",MONTH(B63))),"")</f>
        <v/>
      </c>
      <c r="F63" s="24">
        <f>IF(E63="","",IF(INDEX('Cotações'!$E$6:$E$17,E63)="","",INDEX('Cotações'!$E$6:$E$17,E63)))</f>
        <v/>
      </c>
      <c r="G63" s="25">
        <f>IF(OR(F63="",NOT(ISNUMBER(D63))),"",ROUND(D63*F63,2))</f>
        <v/>
      </c>
      <c r="H63" s="26">
        <f>IF(AND(B63="",D63=""),"",IF(B63="","Falta a data",IF(IFERROR(YEAR(B63),0)&lt;&gt;2026,"Use uma data de 2026",IF(D63="","Falta o valor",IF(NOT(ISNUMBER(D63)),"O valor precisa ser um número",IF(F63="","Falta a cotação deste mês (aba Cotações)",""))))))</f>
        <v/>
      </c>
    </row>
    <row r="64" spans="2:8">
      <c r="B64" s="20"/>
      <c r="C64" s="21"/>
      <c r="D64" s="22"/>
      <c r="E64" s="23">
        <f>IFERROR(IF(B64="","",IF(YEAR(B64)&lt;&gt;2026,"",MONTH(B64))),"")</f>
        <v/>
      </c>
      <c r="F64" s="24">
        <f>IF(E64="","",IF(INDEX('Cotações'!$E$6:$E$17,E64)="","",INDEX('Cotações'!$E$6:$E$17,E64)))</f>
        <v/>
      </c>
      <c r="G64" s="25">
        <f>IF(OR(F64="",NOT(ISNUMBER(D64))),"",ROUND(D64*F64,2))</f>
        <v/>
      </c>
      <c r="H64" s="26">
        <f>IF(AND(B64="",D64=""),"",IF(B64="","Falta a data",IF(IFERROR(YEAR(B64),0)&lt;&gt;2026,"Use uma data de 2026",IF(D64="","Falta o valor",IF(NOT(ISNUMBER(D64)),"O valor precisa ser um número",IF(F64="","Falta a cotação deste mês (aba Cotações)",""))))))</f>
        <v/>
      </c>
    </row>
    <row r="65" spans="2:8">
      <c r="B65" s="20"/>
      <c r="C65" s="21"/>
      <c r="D65" s="22"/>
      <c r="E65" s="23">
        <f>IFERROR(IF(B65="","",IF(YEAR(B65)&lt;&gt;2026,"",MONTH(B65))),"")</f>
        <v/>
      </c>
      <c r="F65" s="24">
        <f>IF(E65="","",IF(INDEX('Cotações'!$E$6:$E$17,E65)="","",INDEX('Cotações'!$E$6:$E$17,E65)))</f>
        <v/>
      </c>
      <c r="G65" s="25">
        <f>IF(OR(F65="",NOT(ISNUMBER(D65))),"",ROUND(D65*F65,2))</f>
        <v/>
      </c>
      <c r="H65" s="26">
        <f>IF(AND(B65="",D65=""),"",IF(B65="","Falta a data",IF(IFERROR(YEAR(B65),0)&lt;&gt;2026,"Use uma data de 2026",IF(D65="","Falta o valor",IF(NOT(ISNUMBER(D65)),"O valor precisa ser um número",IF(F65="","Falta a cotação deste mês (aba Cotações)",""))))))</f>
        <v/>
      </c>
    </row>
    <row r="66" spans="2:8">
      <c r="B66" s="20"/>
      <c r="C66" s="21"/>
      <c r="D66" s="22"/>
      <c r="E66" s="23">
        <f>IFERROR(IF(B66="","",IF(YEAR(B66)&lt;&gt;2026,"",MONTH(B66))),"")</f>
        <v/>
      </c>
      <c r="F66" s="24">
        <f>IF(E66="","",IF(INDEX('Cotações'!$E$6:$E$17,E66)="","",INDEX('Cotações'!$E$6:$E$17,E66)))</f>
        <v/>
      </c>
      <c r="G66" s="25">
        <f>IF(OR(F66="",NOT(ISNUMBER(D66))),"",ROUND(D66*F66,2))</f>
        <v/>
      </c>
      <c r="H66" s="26">
        <f>IF(AND(B66="",D66=""),"",IF(B66="","Falta a data",IF(IFERROR(YEAR(B66),0)&lt;&gt;2026,"Use uma data de 2026",IF(D66="","Falta o valor",IF(NOT(ISNUMBER(D66)),"O valor precisa ser um número",IF(F66="","Falta a cotação deste mês (aba Cotações)",""))))))</f>
        <v/>
      </c>
    </row>
    <row r="67" spans="2:8">
      <c r="B67" s="20"/>
      <c r="C67" s="21"/>
      <c r="D67" s="22"/>
      <c r="E67" s="23">
        <f>IFERROR(IF(B67="","",IF(YEAR(B67)&lt;&gt;2026,"",MONTH(B67))),"")</f>
        <v/>
      </c>
      <c r="F67" s="24">
        <f>IF(E67="","",IF(INDEX('Cotações'!$E$6:$E$17,E67)="","",INDEX('Cotações'!$E$6:$E$17,E67)))</f>
        <v/>
      </c>
      <c r="G67" s="25">
        <f>IF(OR(F67="",NOT(ISNUMBER(D67))),"",ROUND(D67*F67,2))</f>
        <v/>
      </c>
      <c r="H67" s="26">
        <f>IF(AND(B67="",D67=""),"",IF(B67="","Falta a data",IF(IFERROR(YEAR(B67),0)&lt;&gt;2026,"Use uma data de 2026",IF(D67="","Falta o valor",IF(NOT(ISNUMBER(D67)),"O valor precisa ser um número",IF(F67="","Falta a cotação deste mês (aba Cotações)",""))))))</f>
        <v/>
      </c>
    </row>
    <row r="68" spans="2:8">
      <c r="B68" s="20"/>
      <c r="C68" s="21"/>
      <c r="D68" s="22"/>
      <c r="E68" s="23">
        <f>IFERROR(IF(B68="","",IF(YEAR(B68)&lt;&gt;2026,"",MONTH(B68))),"")</f>
        <v/>
      </c>
      <c r="F68" s="24">
        <f>IF(E68="","",IF(INDEX('Cotações'!$E$6:$E$17,E68)="","",INDEX('Cotações'!$E$6:$E$17,E68)))</f>
        <v/>
      </c>
      <c r="G68" s="25">
        <f>IF(OR(F68="",NOT(ISNUMBER(D68))),"",ROUND(D68*F68,2))</f>
        <v/>
      </c>
      <c r="H68" s="26">
        <f>IF(AND(B68="",D68=""),"",IF(B68="","Falta a data",IF(IFERROR(YEAR(B68),0)&lt;&gt;2026,"Use uma data de 2026",IF(D68="","Falta o valor",IF(NOT(ISNUMBER(D68)),"O valor precisa ser um número",IF(F68="","Falta a cotação deste mês (aba Cotações)",""))))))</f>
        <v/>
      </c>
    </row>
    <row r="69" spans="2:8">
      <c r="B69" s="20"/>
      <c r="C69" s="21"/>
      <c r="D69" s="22"/>
      <c r="E69" s="23">
        <f>IFERROR(IF(B69="","",IF(YEAR(B69)&lt;&gt;2026,"",MONTH(B69))),"")</f>
        <v/>
      </c>
      <c r="F69" s="24">
        <f>IF(E69="","",IF(INDEX('Cotações'!$E$6:$E$17,E69)="","",INDEX('Cotações'!$E$6:$E$17,E69)))</f>
        <v/>
      </c>
      <c r="G69" s="25">
        <f>IF(OR(F69="",NOT(ISNUMBER(D69))),"",ROUND(D69*F69,2))</f>
        <v/>
      </c>
      <c r="H69" s="26">
        <f>IF(AND(B69="",D69=""),"",IF(B69="","Falta a data",IF(IFERROR(YEAR(B69),0)&lt;&gt;2026,"Use uma data de 2026",IF(D69="","Falta o valor",IF(NOT(ISNUMBER(D69)),"O valor precisa ser um número",IF(F69="","Falta a cotação deste mês (aba Cotações)",""))))))</f>
        <v/>
      </c>
    </row>
    <row r="70" spans="2:8">
      <c r="B70" s="20"/>
      <c r="C70" s="21"/>
      <c r="D70" s="22"/>
      <c r="E70" s="23">
        <f>IFERROR(IF(B70="","",IF(YEAR(B70)&lt;&gt;2026,"",MONTH(B70))),"")</f>
        <v/>
      </c>
      <c r="F70" s="24">
        <f>IF(E70="","",IF(INDEX('Cotações'!$E$6:$E$17,E70)="","",INDEX('Cotações'!$E$6:$E$17,E70)))</f>
        <v/>
      </c>
      <c r="G70" s="25">
        <f>IF(OR(F70="",NOT(ISNUMBER(D70))),"",ROUND(D70*F70,2))</f>
        <v/>
      </c>
      <c r="H70" s="26">
        <f>IF(AND(B70="",D70=""),"",IF(B70="","Falta a data",IF(IFERROR(YEAR(B70),0)&lt;&gt;2026,"Use uma data de 2026",IF(D70="","Falta o valor",IF(NOT(ISNUMBER(D70)),"O valor precisa ser um número",IF(F70="","Falta a cotação deste mês (aba Cotações)",""))))))</f>
        <v/>
      </c>
    </row>
    <row r="71" spans="2:8">
      <c r="B71" s="20"/>
      <c r="C71" s="21"/>
      <c r="D71" s="22"/>
      <c r="E71" s="23">
        <f>IFERROR(IF(B71="","",IF(YEAR(B71)&lt;&gt;2026,"",MONTH(B71))),"")</f>
        <v/>
      </c>
      <c r="F71" s="24">
        <f>IF(E71="","",IF(INDEX('Cotações'!$E$6:$E$17,E71)="","",INDEX('Cotações'!$E$6:$E$17,E71)))</f>
        <v/>
      </c>
      <c r="G71" s="25">
        <f>IF(OR(F71="",NOT(ISNUMBER(D71))),"",ROUND(D71*F71,2))</f>
        <v/>
      </c>
      <c r="H71" s="26">
        <f>IF(AND(B71="",D71=""),"",IF(B71="","Falta a data",IF(IFERROR(YEAR(B71),0)&lt;&gt;2026,"Use uma data de 2026",IF(D71="","Falta o valor",IF(NOT(ISNUMBER(D71)),"O valor precisa ser um número",IF(F71="","Falta a cotação deste mês (aba Cotações)",""))))))</f>
        <v/>
      </c>
    </row>
    <row r="72" spans="2:8">
      <c r="B72" s="20"/>
      <c r="C72" s="21"/>
      <c r="D72" s="22"/>
      <c r="E72" s="23">
        <f>IFERROR(IF(B72="","",IF(YEAR(B72)&lt;&gt;2026,"",MONTH(B72))),"")</f>
        <v/>
      </c>
      <c r="F72" s="24">
        <f>IF(E72="","",IF(INDEX('Cotações'!$E$6:$E$17,E72)="","",INDEX('Cotações'!$E$6:$E$17,E72)))</f>
        <v/>
      </c>
      <c r="G72" s="25">
        <f>IF(OR(F72="",NOT(ISNUMBER(D72))),"",ROUND(D72*F72,2))</f>
        <v/>
      </c>
      <c r="H72" s="26">
        <f>IF(AND(B72="",D72=""),"",IF(B72="","Falta a data",IF(IFERROR(YEAR(B72),0)&lt;&gt;2026,"Use uma data de 2026",IF(D72="","Falta o valor",IF(NOT(ISNUMBER(D72)),"O valor precisa ser um número",IF(F72="","Falta a cotação deste mês (aba Cotações)",""))))))</f>
        <v/>
      </c>
    </row>
    <row r="73" spans="2:8">
      <c r="B73" s="20"/>
      <c r="C73" s="21"/>
      <c r="D73" s="22"/>
      <c r="E73" s="23">
        <f>IFERROR(IF(B73="","",IF(YEAR(B73)&lt;&gt;2026,"",MONTH(B73))),"")</f>
        <v/>
      </c>
      <c r="F73" s="24">
        <f>IF(E73="","",IF(INDEX('Cotações'!$E$6:$E$17,E73)="","",INDEX('Cotações'!$E$6:$E$17,E73)))</f>
        <v/>
      </c>
      <c r="G73" s="25">
        <f>IF(OR(F73="",NOT(ISNUMBER(D73))),"",ROUND(D73*F73,2))</f>
        <v/>
      </c>
      <c r="H73" s="26">
        <f>IF(AND(B73="",D73=""),"",IF(B73="","Falta a data",IF(IFERROR(YEAR(B73),0)&lt;&gt;2026,"Use uma data de 2026",IF(D73="","Falta o valor",IF(NOT(ISNUMBER(D73)),"O valor precisa ser um número",IF(F73="","Falta a cotação deste mês (aba Cotações)",""))))))</f>
        <v/>
      </c>
    </row>
    <row r="74" spans="2:8">
      <c r="B74" s="20"/>
      <c r="C74" s="21"/>
      <c r="D74" s="22"/>
      <c r="E74" s="23">
        <f>IFERROR(IF(B74="","",IF(YEAR(B74)&lt;&gt;2026,"",MONTH(B74))),"")</f>
        <v/>
      </c>
      <c r="F74" s="24">
        <f>IF(E74="","",IF(INDEX('Cotações'!$E$6:$E$17,E74)="","",INDEX('Cotações'!$E$6:$E$17,E74)))</f>
        <v/>
      </c>
      <c r="G74" s="25">
        <f>IF(OR(F74="",NOT(ISNUMBER(D74))),"",ROUND(D74*F74,2))</f>
        <v/>
      </c>
      <c r="H74" s="26">
        <f>IF(AND(B74="",D74=""),"",IF(B74="","Falta a data",IF(IFERROR(YEAR(B74),0)&lt;&gt;2026,"Use uma data de 2026",IF(D74="","Falta o valor",IF(NOT(ISNUMBER(D74)),"O valor precisa ser um número",IF(F74="","Falta a cotação deste mês (aba Cotações)",""))))))</f>
        <v/>
      </c>
    </row>
    <row r="75" spans="2:8">
      <c r="B75" s="20"/>
      <c r="C75" s="21"/>
      <c r="D75" s="22"/>
      <c r="E75" s="23">
        <f>IFERROR(IF(B75="","",IF(YEAR(B75)&lt;&gt;2026,"",MONTH(B75))),"")</f>
        <v/>
      </c>
      <c r="F75" s="24">
        <f>IF(E75="","",IF(INDEX('Cotações'!$E$6:$E$17,E75)="","",INDEX('Cotações'!$E$6:$E$17,E75)))</f>
        <v/>
      </c>
      <c r="G75" s="25">
        <f>IF(OR(F75="",NOT(ISNUMBER(D75))),"",ROUND(D75*F75,2))</f>
        <v/>
      </c>
      <c r="H75" s="26">
        <f>IF(AND(B75="",D75=""),"",IF(B75="","Falta a data",IF(IFERROR(YEAR(B75),0)&lt;&gt;2026,"Use uma data de 2026",IF(D75="","Falta o valor",IF(NOT(ISNUMBER(D75)),"O valor precisa ser um número",IF(F75="","Falta a cotação deste mês (aba Cotações)",""))))))</f>
        <v/>
      </c>
    </row>
    <row r="76" spans="2:8">
      <c r="B76" s="20"/>
      <c r="C76" s="21"/>
      <c r="D76" s="22"/>
      <c r="E76" s="23">
        <f>IFERROR(IF(B76="","",IF(YEAR(B76)&lt;&gt;2026,"",MONTH(B76))),"")</f>
        <v/>
      </c>
      <c r="F76" s="24">
        <f>IF(E76="","",IF(INDEX('Cotações'!$E$6:$E$17,E76)="","",INDEX('Cotações'!$E$6:$E$17,E76)))</f>
        <v/>
      </c>
      <c r="G76" s="25">
        <f>IF(OR(F76="",NOT(ISNUMBER(D76))),"",ROUND(D76*F76,2))</f>
        <v/>
      </c>
      <c r="H76" s="26">
        <f>IF(AND(B76="",D76=""),"",IF(B76="","Falta a data",IF(IFERROR(YEAR(B76),0)&lt;&gt;2026,"Use uma data de 2026",IF(D76="","Falta o valor",IF(NOT(ISNUMBER(D76)),"O valor precisa ser um número",IF(F76="","Falta a cotação deste mês (aba Cotações)",""))))))</f>
        <v/>
      </c>
    </row>
    <row r="77" spans="2:8">
      <c r="B77" s="20"/>
      <c r="C77" s="21"/>
      <c r="D77" s="22"/>
      <c r="E77" s="23">
        <f>IFERROR(IF(B77="","",IF(YEAR(B77)&lt;&gt;2026,"",MONTH(B77))),"")</f>
        <v/>
      </c>
      <c r="F77" s="24">
        <f>IF(E77="","",IF(INDEX('Cotações'!$E$6:$E$17,E77)="","",INDEX('Cotações'!$E$6:$E$17,E77)))</f>
        <v/>
      </c>
      <c r="G77" s="25">
        <f>IF(OR(F77="",NOT(ISNUMBER(D77))),"",ROUND(D77*F77,2))</f>
        <v/>
      </c>
      <c r="H77" s="26">
        <f>IF(AND(B77="",D77=""),"",IF(B77="","Falta a data",IF(IFERROR(YEAR(B77),0)&lt;&gt;2026,"Use uma data de 2026",IF(D77="","Falta o valor",IF(NOT(ISNUMBER(D77)),"O valor precisa ser um número",IF(F77="","Falta a cotação deste mês (aba Cotações)",""))))))</f>
        <v/>
      </c>
    </row>
    <row r="78" spans="2:8">
      <c r="B78" s="20"/>
      <c r="C78" s="21"/>
      <c r="D78" s="22"/>
      <c r="E78" s="23">
        <f>IFERROR(IF(B78="","",IF(YEAR(B78)&lt;&gt;2026,"",MONTH(B78))),"")</f>
        <v/>
      </c>
      <c r="F78" s="24">
        <f>IF(E78="","",IF(INDEX('Cotações'!$E$6:$E$17,E78)="","",INDEX('Cotações'!$E$6:$E$17,E78)))</f>
        <v/>
      </c>
      <c r="G78" s="25">
        <f>IF(OR(F78="",NOT(ISNUMBER(D78))),"",ROUND(D78*F78,2))</f>
        <v/>
      </c>
      <c r="H78" s="26">
        <f>IF(AND(B78="",D78=""),"",IF(B78="","Falta a data",IF(IFERROR(YEAR(B78),0)&lt;&gt;2026,"Use uma data de 2026",IF(D78="","Falta o valor",IF(NOT(ISNUMBER(D78)),"O valor precisa ser um número",IF(F78="","Falta a cotação deste mês (aba Cotações)",""))))))</f>
        <v/>
      </c>
    </row>
    <row r="79" spans="2:8">
      <c r="B79" s="20"/>
      <c r="C79" s="21"/>
      <c r="D79" s="22"/>
      <c r="E79" s="23">
        <f>IFERROR(IF(B79="","",IF(YEAR(B79)&lt;&gt;2026,"",MONTH(B79))),"")</f>
        <v/>
      </c>
      <c r="F79" s="24">
        <f>IF(E79="","",IF(INDEX('Cotações'!$E$6:$E$17,E79)="","",INDEX('Cotações'!$E$6:$E$17,E79)))</f>
        <v/>
      </c>
      <c r="G79" s="25">
        <f>IF(OR(F79="",NOT(ISNUMBER(D79))),"",ROUND(D79*F79,2))</f>
        <v/>
      </c>
      <c r="H79" s="26">
        <f>IF(AND(B79="",D79=""),"",IF(B79="","Falta a data",IF(IFERROR(YEAR(B79),0)&lt;&gt;2026,"Use uma data de 2026",IF(D79="","Falta o valor",IF(NOT(ISNUMBER(D79)),"O valor precisa ser um número",IF(F79="","Falta a cotação deste mês (aba Cotações)",""))))))</f>
        <v/>
      </c>
    </row>
    <row r="80" spans="2:8">
      <c r="B80" s="20"/>
      <c r="C80" s="21"/>
      <c r="D80" s="22"/>
      <c r="E80" s="23">
        <f>IFERROR(IF(B80="","",IF(YEAR(B80)&lt;&gt;2026,"",MONTH(B80))),"")</f>
        <v/>
      </c>
      <c r="F80" s="24">
        <f>IF(E80="","",IF(INDEX('Cotações'!$E$6:$E$17,E80)="","",INDEX('Cotações'!$E$6:$E$17,E80)))</f>
        <v/>
      </c>
      <c r="G80" s="25">
        <f>IF(OR(F80="",NOT(ISNUMBER(D80))),"",ROUND(D80*F80,2))</f>
        <v/>
      </c>
      <c r="H80" s="26">
        <f>IF(AND(B80="",D80=""),"",IF(B80="","Falta a data",IF(IFERROR(YEAR(B80),0)&lt;&gt;2026,"Use uma data de 2026",IF(D80="","Falta o valor",IF(NOT(ISNUMBER(D80)),"O valor precisa ser um número",IF(F80="","Falta a cotação deste mês (aba Cotações)",""))))))</f>
        <v/>
      </c>
    </row>
    <row r="81" spans="2:8">
      <c r="B81" s="20"/>
      <c r="C81" s="21"/>
      <c r="D81" s="22"/>
      <c r="E81" s="23">
        <f>IFERROR(IF(B81="","",IF(YEAR(B81)&lt;&gt;2026,"",MONTH(B81))),"")</f>
        <v/>
      </c>
      <c r="F81" s="24">
        <f>IF(E81="","",IF(INDEX('Cotações'!$E$6:$E$17,E81)="","",INDEX('Cotações'!$E$6:$E$17,E81)))</f>
        <v/>
      </c>
      <c r="G81" s="25">
        <f>IF(OR(F81="",NOT(ISNUMBER(D81))),"",ROUND(D81*F81,2))</f>
        <v/>
      </c>
      <c r="H81" s="26">
        <f>IF(AND(B81="",D81=""),"",IF(B81="","Falta a data",IF(IFERROR(YEAR(B81),0)&lt;&gt;2026,"Use uma data de 2026",IF(D81="","Falta o valor",IF(NOT(ISNUMBER(D81)),"O valor precisa ser um número",IF(F81="","Falta a cotação deste mês (aba Cotações)",""))))))</f>
        <v/>
      </c>
    </row>
    <row r="82" spans="2:8">
      <c r="B82" s="20"/>
      <c r="C82" s="21"/>
      <c r="D82" s="22"/>
      <c r="E82" s="23">
        <f>IFERROR(IF(B82="","",IF(YEAR(B82)&lt;&gt;2026,"",MONTH(B82))),"")</f>
        <v/>
      </c>
      <c r="F82" s="24">
        <f>IF(E82="","",IF(INDEX('Cotações'!$E$6:$E$17,E82)="","",INDEX('Cotações'!$E$6:$E$17,E82)))</f>
        <v/>
      </c>
      <c r="G82" s="25">
        <f>IF(OR(F82="",NOT(ISNUMBER(D82))),"",ROUND(D82*F82,2))</f>
        <v/>
      </c>
      <c r="H82" s="26">
        <f>IF(AND(B82="",D82=""),"",IF(B82="","Falta a data",IF(IFERROR(YEAR(B82),0)&lt;&gt;2026,"Use uma data de 2026",IF(D82="","Falta o valor",IF(NOT(ISNUMBER(D82)),"O valor precisa ser um número",IF(F82="","Falta a cotação deste mês (aba Cotações)",""))))))</f>
        <v/>
      </c>
    </row>
    <row r="83" spans="2:8">
      <c r="B83" s="20"/>
      <c r="C83" s="21"/>
      <c r="D83" s="22"/>
      <c r="E83" s="23">
        <f>IFERROR(IF(B83="","",IF(YEAR(B83)&lt;&gt;2026,"",MONTH(B83))),"")</f>
        <v/>
      </c>
      <c r="F83" s="24">
        <f>IF(E83="","",IF(INDEX('Cotações'!$E$6:$E$17,E83)="","",INDEX('Cotações'!$E$6:$E$17,E83)))</f>
        <v/>
      </c>
      <c r="G83" s="25">
        <f>IF(OR(F83="",NOT(ISNUMBER(D83))),"",ROUND(D83*F83,2))</f>
        <v/>
      </c>
      <c r="H83" s="26">
        <f>IF(AND(B83="",D83=""),"",IF(B83="","Falta a data",IF(IFERROR(YEAR(B83),0)&lt;&gt;2026,"Use uma data de 2026",IF(D83="","Falta o valor",IF(NOT(ISNUMBER(D83)),"O valor precisa ser um número",IF(F83="","Falta a cotação deste mês (aba Cotações)",""))))))</f>
        <v/>
      </c>
    </row>
    <row r="84" spans="2:8">
      <c r="B84" s="20"/>
      <c r="C84" s="21"/>
      <c r="D84" s="22"/>
      <c r="E84" s="23">
        <f>IFERROR(IF(B84="","",IF(YEAR(B84)&lt;&gt;2026,"",MONTH(B84))),"")</f>
        <v/>
      </c>
      <c r="F84" s="24">
        <f>IF(E84="","",IF(INDEX('Cotações'!$E$6:$E$17,E84)="","",INDEX('Cotações'!$E$6:$E$17,E84)))</f>
        <v/>
      </c>
      <c r="G84" s="25">
        <f>IF(OR(F84="",NOT(ISNUMBER(D84))),"",ROUND(D84*F84,2))</f>
        <v/>
      </c>
      <c r="H84" s="26">
        <f>IF(AND(B84="",D84=""),"",IF(B84="","Falta a data",IF(IFERROR(YEAR(B84),0)&lt;&gt;2026,"Use uma data de 2026",IF(D84="","Falta o valor",IF(NOT(ISNUMBER(D84)),"O valor precisa ser um número",IF(F84="","Falta a cotação deste mês (aba Cotações)",""))))))</f>
        <v/>
      </c>
    </row>
    <row r="85" spans="2:8">
      <c r="B85" s="20"/>
      <c r="C85" s="21"/>
      <c r="D85" s="22"/>
      <c r="E85" s="23">
        <f>IFERROR(IF(B85="","",IF(YEAR(B85)&lt;&gt;2026,"",MONTH(B85))),"")</f>
        <v/>
      </c>
      <c r="F85" s="24">
        <f>IF(E85="","",IF(INDEX('Cotações'!$E$6:$E$17,E85)="","",INDEX('Cotações'!$E$6:$E$17,E85)))</f>
        <v/>
      </c>
      <c r="G85" s="25">
        <f>IF(OR(F85="",NOT(ISNUMBER(D85))),"",ROUND(D85*F85,2))</f>
        <v/>
      </c>
      <c r="H85" s="26">
        <f>IF(AND(B85="",D85=""),"",IF(B85="","Falta a data",IF(IFERROR(YEAR(B85),0)&lt;&gt;2026,"Use uma data de 2026",IF(D85="","Falta o valor",IF(NOT(ISNUMBER(D85)),"O valor precisa ser um número",IF(F85="","Falta a cotação deste mês (aba Cotações)",""))))))</f>
        <v/>
      </c>
    </row>
    <row r="86" spans="2:8">
      <c r="B86" s="20"/>
      <c r="C86" s="21"/>
      <c r="D86" s="22"/>
      <c r="E86" s="23">
        <f>IFERROR(IF(B86="","",IF(YEAR(B86)&lt;&gt;2026,"",MONTH(B86))),"")</f>
        <v/>
      </c>
      <c r="F86" s="24">
        <f>IF(E86="","",IF(INDEX('Cotações'!$E$6:$E$17,E86)="","",INDEX('Cotações'!$E$6:$E$17,E86)))</f>
        <v/>
      </c>
      <c r="G86" s="25">
        <f>IF(OR(F86="",NOT(ISNUMBER(D86))),"",ROUND(D86*F86,2))</f>
        <v/>
      </c>
      <c r="H86" s="26">
        <f>IF(AND(B86="",D86=""),"",IF(B86="","Falta a data",IF(IFERROR(YEAR(B86),0)&lt;&gt;2026,"Use uma data de 2026",IF(D86="","Falta o valor",IF(NOT(ISNUMBER(D86)),"O valor precisa ser um número",IF(F86="","Falta a cotação deste mês (aba Cotações)",""))))))</f>
        <v/>
      </c>
    </row>
    <row r="87" spans="2:8">
      <c r="B87" s="20"/>
      <c r="C87" s="21"/>
      <c r="D87" s="22"/>
      <c r="E87" s="23">
        <f>IFERROR(IF(B87="","",IF(YEAR(B87)&lt;&gt;2026,"",MONTH(B87))),"")</f>
        <v/>
      </c>
      <c r="F87" s="24">
        <f>IF(E87="","",IF(INDEX('Cotações'!$E$6:$E$17,E87)="","",INDEX('Cotações'!$E$6:$E$17,E87)))</f>
        <v/>
      </c>
      <c r="G87" s="25">
        <f>IF(OR(F87="",NOT(ISNUMBER(D87))),"",ROUND(D87*F87,2))</f>
        <v/>
      </c>
      <c r="H87" s="26">
        <f>IF(AND(B87="",D87=""),"",IF(B87="","Falta a data",IF(IFERROR(YEAR(B87),0)&lt;&gt;2026,"Use uma data de 2026",IF(D87="","Falta o valor",IF(NOT(ISNUMBER(D87)),"O valor precisa ser um número",IF(F87="","Falta a cotação deste mês (aba Cotações)",""))))))</f>
        <v/>
      </c>
    </row>
    <row r="88" spans="2:8">
      <c r="B88" s="20"/>
      <c r="C88" s="21"/>
      <c r="D88" s="22"/>
      <c r="E88" s="23">
        <f>IFERROR(IF(B88="","",IF(YEAR(B88)&lt;&gt;2026,"",MONTH(B88))),"")</f>
        <v/>
      </c>
      <c r="F88" s="24">
        <f>IF(E88="","",IF(INDEX('Cotações'!$E$6:$E$17,E88)="","",INDEX('Cotações'!$E$6:$E$17,E88)))</f>
        <v/>
      </c>
      <c r="G88" s="25">
        <f>IF(OR(F88="",NOT(ISNUMBER(D88))),"",ROUND(D88*F88,2))</f>
        <v/>
      </c>
      <c r="H88" s="26">
        <f>IF(AND(B88="",D88=""),"",IF(B88="","Falta a data",IF(IFERROR(YEAR(B88),0)&lt;&gt;2026,"Use uma data de 2026",IF(D88="","Falta o valor",IF(NOT(ISNUMBER(D88)),"O valor precisa ser um número",IF(F88="","Falta a cotação deste mês (aba Cotações)",""))))))</f>
        <v/>
      </c>
    </row>
    <row r="89" spans="2:8">
      <c r="B89" s="20"/>
      <c r="C89" s="21"/>
      <c r="D89" s="22"/>
      <c r="E89" s="23">
        <f>IFERROR(IF(B89="","",IF(YEAR(B89)&lt;&gt;2026,"",MONTH(B89))),"")</f>
        <v/>
      </c>
      <c r="F89" s="24">
        <f>IF(E89="","",IF(INDEX('Cotações'!$E$6:$E$17,E89)="","",INDEX('Cotações'!$E$6:$E$17,E89)))</f>
        <v/>
      </c>
      <c r="G89" s="25">
        <f>IF(OR(F89="",NOT(ISNUMBER(D89))),"",ROUND(D89*F89,2))</f>
        <v/>
      </c>
      <c r="H89" s="26">
        <f>IF(AND(B89="",D89=""),"",IF(B89="","Falta a data",IF(IFERROR(YEAR(B89),0)&lt;&gt;2026,"Use uma data de 2026",IF(D89="","Falta o valor",IF(NOT(ISNUMBER(D89)),"O valor precisa ser um número",IF(F89="","Falta a cotação deste mês (aba Cotações)",""))))))</f>
        <v/>
      </c>
    </row>
    <row r="90" spans="2:8">
      <c r="B90" s="20"/>
      <c r="C90" s="21"/>
      <c r="D90" s="22"/>
      <c r="E90" s="23">
        <f>IFERROR(IF(B90="","",IF(YEAR(B90)&lt;&gt;2026,"",MONTH(B90))),"")</f>
        <v/>
      </c>
      <c r="F90" s="24">
        <f>IF(E90="","",IF(INDEX('Cotações'!$E$6:$E$17,E90)="","",INDEX('Cotações'!$E$6:$E$17,E90)))</f>
        <v/>
      </c>
      <c r="G90" s="25">
        <f>IF(OR(F90="",NOT(ISNUMBER(D90))),"",ROUND(D90*F90,2))</f>
        <v/>
      </c>
      <c r="H90" s="26">
        <f>IF(AND(B90="",D90=""),"",IF(B90="","Falta a data",IF(IFERROR(YEAR(B90),0)&lt;&gt;2026,"Use uma data de 2026",IF(D90="","Falta o valor",IF(NOT(ISNUMBER(D90)),"O valor precisa ser um número",IF(F90="","Falta a cotação deste mês (aba Cotações)",""))))))</f>
        <v/>
      </c>
    </row>
    <row r="91" spans="2:8">
      <c r="B91" s="20"/>
      <c r="C91" s="21"/>
      <c r="D91" s="22"/>
      <c r="E91" s="23">
        <f>IFERROR(IF(B91="","",IF(YEAR(B91)&lt;&gt;2026,"",MONTH(B91))),"")</f>
        <v/>
      </c>
      <c r="F91" s="24">
        <f>IF(E91="","",IF(INDEX('Cotações'!$E$6:$E$17,E91)="","",INDEX('Cotações'!$E$6:$E$17,E91)))</f>
        <v/>
      </c>
      <c r="G91" s="25">
        <f>IF(OR(F91="",NOT(ISNUMBER(D91))),"",ROUND(D91*F91,2))</f>
        <v/>
      </c>
      <c r="H91" s="26">
        <f>IF(AND(B91="",D91=""),"",IF(B91="","Falta a data",IF(IFERROR(YEAR(B91),0)&lt;&gt;2026,"Use uma data de 2026",IF(D91="","Falta o valor",IF(NOT(ISNUMBER(D91)),"O valor precisa ser um número",IF(F91="","Falta a cotação deste mês (aba Cotações)",""))))))</f>
        <v/>
      </c>
    </row>
    <row r="92" spans="2:8">
      <c r="B92" s="20"/>
      <c r="C92" s="21"/>
      <c r="D92" s="22"/>
      <c r="E92" s="23">
        <f>IFERROR(IF(B92="","",IF(YEAR(B92)&lt;&gt;2026,"",MONTH(B92))),"")</f>
        <v/>
      </c>
      <c r="F92" s="24">
        <f>IF(E92="","",IF(INDEX('Cotações'!$E$6:$E$17,E92)="","",INDEX('Cotações'!$E$6:$E$17,E92)))</f>
        <v/>
      </c>
      <c r="G92" s="25">
        <f>IF(OR(F92="",NOT(ISNUMBER(D92))),"",ROUND(D92*F92,2))</f>
        <v/>
      </c>
      <c r="H92" s="26">
        <f>IF(AND(B92="",D92=""),"",IF(B92="","Falta a data",IF(IFERROR(YEAR(B92),0)&lt;&gt;2026,"Use uma data de 2026",IF(D92="","Falta o valor",IF(NOT(ISNUMBER(D92)),"O valor precisa ser um número",IF(F92="","Falta a cotação deste mês (aba Cotações)",""))))))</f>
        <v/>
      </c>
    </row>
    <row r="93" spans="2:8">
      <c r="B93" s="20"/>
      <c r="C93" s="21"/>
      <c r="D93" s="22"/>
      <c r="E93" s="23">
        <f>IFERROR(IF(B93="","",IF(YEAR(B93)&lt;&gt;2026,"",MONTH(B93))),"")</f>
        <v/>
      </c>
      <c r="F93" s="24">
        <f>IF(E93="","",IF(INDEX('Cotações'!$E$6:$E$17,E93)="","",INDEX('Cotações'!$E$6:$E$17,E93)))</f>
        <v/>
      </c>
      <c r="G93" s="25">
        <f>IF(OR(F93="",NOT(ISNUMBER(D93))),"",ROUND(D93*F93,2))</f>
        <v/>
      </c>
      <c r="H93" s="26">
        <f>IF(AND(B93="",D93=""),"",IF(B93="","Falta a data",IF(IFERROR(YEAR(B93),0)&lt;&gt;2026,"Use uma data de 2026",IF(D93="","Falta o valor",IF(NOT(ISNUMBER(D93)),"O valor precisa ser um número",IF(F93="","Falta a cotação deste mês (aba Cotações)",""))))))</f>
        <v/>
      </c>
    </row>
    <row r="94" spans="2:8">
      <c r="B94" s="20"/>
      <c r="C94" s="21"/>
      <c r="D94" s="22"/>
      <c r="E94" s="23">
        <f>IFERROR(IF(B94="","",IF(YEAR(B94)&lt;&gt;2026,"",MONTH(B94))),"")</f>
        <v/>
      </c>
      <c r="F94" s="24">
        <f>IF(E94="","",IF(INDEX('Cotações'!$E$6:$E$17,E94)="","",INDEX('Cotações'!$E$6:$E$17,E94)))</f>
        <v/>
      </c>
      <c r="G94" s="25">
        <f>IF(OR(F94="",NOT(ISNUMBER(D94))),"",ROUND(D94*F94,2))</f>
        <v/>
      </c>
      <c r="H94" s="26">
        <f>IF(AND(B94="",D94=""),"",IF(B94="","Falta a data",IF(IFERROR(YEAR(B94),0)&lt;&gt;2026,"Use uma data de 2026",IF(D94="","Falta o valor",IF(NOT(ISNUMBER(D94)),"O valor precisa ser um número",IF(F94="","Falta a cotação deste mês (aba Cotações)",""))))))</f>
        <v/>
      </c>
    </row>
    <row r="95" spans="2:8">
      <c r="B95" s="20"/>
      <c r="C95" s="21"/>
      <c r="D95" s="22"/>
      <c r="E95" s="23">
        <f>IFERROR(IF(B95="","",IF(YEAR(B95)&lt;&gt;2026,"",MONTH(B95))),"")</f>
        <v/>
      </c>
      <c r="F95" s="24">
        <f>IF(E95="","",IF(INDEX('Cotações'!$E$6:$E$17,E95)="","",INDEX('Cotações'!$E$6:$E$17,E95)))</f>
        <v/>
      </c>
      <c r="G95" s="25">
        <f>IF(OR(F95="",NOT(ISNUMBER(D95))),"",ROUND(D95*F95,2))</f>
        <v/>
      </c>
      <c r="H95" s="26">
        <f>IF(AND(B95="",D95=""),"",IF(B95="","Falta a data",IF(IFERROR(YEAR(B95),0)&lt;&gt;2026,"Use uma data de 2026",IF(D95="","Falta o valor",IF(NOT(ISNUMBER(D95)),"O valor precisa ser um número",IF(F95="","Falta a cotação deste mês (aba Cotações)",""))))))</f>
        <v/>
      </c>
    </row>
    <row r="96" spans="2:8">
      <c r="B96" s="20"/>
      <c r="C96" s="21"/>
      <c r="D96" s="22"/>
      <c r="E96" s="23">
        <f>IFERROR(IF(B96="","",IF(YEAR(B96)&lt;&gt;2026,"",MONTH(B96))),"")</f>
        <v/>
      </c>
      <c r="F96" s="24">
        <f>IF(E96="","",IF(INDEX('Cotações'!$E$6:$E$17,E96)="","",INDEX('Cotações'!$E$6:$E$17,E96)))</f>
        <v/>
      </c>
      <c r="G96" s="25">
        <f>IF(OR(F96="",NOT(ISNUMBER(D96))),"",ROUND(D96*F96,2))</f>
        <v/>
      </c>
      <c r="H96" s="26">
        <f>IF(AND(B96="",D96=""),"",IF(B96="","Falta a data",IF(IFERROR(YEAR(B96),0)&lt;&gt;2026,"Use uma data de 2026",IF(D96="","Falta o valor",IF(NOT(ISNUMBER(D96)),"O valor precisa ser um número",IF(F96="","Falta a cotação deste mês (aba Cotações)",""))))))</f>
        <v/>
      </c>
    </row>
    <row r="97" spans="2:8">
      <c r="B97" s="20"/>
      <c r="C97" s="21"/>
      <c r="D97" s="22"/>
      <c r="E97" s="23">
        <f>IFERROR(IF(B97="","",IF(YEAR(B97)&lt;&gt;2026,"",MONTH(B97))),"")</f>
        <v/>
      </c>
      <c r="F97" s="24">
        <f>IF(E97="","",IF(INDEX('Cotações'!$E$6:$E$17,E97)="","",INDEX('Cotações'!$E$6:$E$17,E97)))</f>
        <v/>
      </c>
      <c r="G97" s="25">
        <f>IF(OR(F97="",NOT(ISNUMBER(D97))),"",ROUND(D97*F97,2))</f>
        <v/>
      </c>
      <c r="H97" s="26">
        <f>IF(AND(B97="",D97=""),"",IF(B97="","Falta a data",IF(IFERROR(YEAR(B97),0)&lt;&gt;2026,"Use uma data de 2026",IF(D97="","Falta o valor",IF(NOT(ISNUMBER(D97)),"O valor precisa ser um número",IF(F97="","Falta a cotação deste mês (aba Cotações)",""))))))</f>
        <v/>
      </c>
    </row>
    <row r="98" spans="2:8">
      <c r="B98" s="20"/>
      <c r="C98" s="21"/>
      <c r="D98" s="22"/>
      <c r="E98" s="23">
        <f>IFERROR(IF(B98="","",IF(YEAR(B98)&lt;&gt;2026,"",MONTH(B98))),"")</f>
        <v/>
      </c>
      <c r="F98" s="24">
        <f>IF(E98="","",IF(INDEX('Cotações'!$E$6:$E$17,E98)="","",INDEX('Cotações'!$E$6:$E$17,E98)))</f>
        <v/>
      </c>
      <c r="G98" s="25">
        <f>IF(OR(F98="",NOT(ISNUMBER(D98))),"",ROUND(D98*F98,2))</f>
        <v/>
      </c>
      <c r="H98" s="26">
        <f>IF(AND(B98="",D98=""),"",IF(B98="","Falta a data",IF(IFERROR(YEAR(B98),0)&lt;&gt;2026,"Use uma data de 2026",IF(D98="","Falta o valor",IF(NOT(ISNUMBER(D98)),"O valor precisa ser um número",IF(F98="","Falta a cotação deste mês (aba Cotações)",""))))))</f>
        <v/>
      </c>
    </row>
    <row r="99" spans="2:8">
      <c r="B99" s="20"/>
      <c r="C99" s="21"/>
      <c r="D99" s="22"/>
      <c r="E99" s="23">
        <f>IFERROR(IF(B99="","",IF(YEAR(B99)&lt;&gt;2026,"",MONTH(B99))),"")</f>
        <v/>
      </c>
      <c r="F99" s="24">
        <f>IF(E99="","",IF(INDEX('Cotações'!$E$6:$E$17,E99)="","",INDEX('Cotações'!$E$6:$E$17,E99)))</f>
        <v/>
      </c>
      <c r="G99" s="25">
        <f>IF(OR(F99="",NOT(ISNUMBER(D99))),"",ROUND(D99*F99,2))</f>
        <v/>
      </c>
      <c r="H99" s="26">
        <f>IF(AND(B99="",D99=""),"",IF(B99="","Falta a data",IF(IFERROR(YEAR(B99),0)&lt;&gt;2026,"Use uma data de 2026",IF(D99="","Falta o valor",IF(NOT(ISNUMBER(D99)),"O valor precisa ser um número",IF(F99="","Falta a cotação deste mês (aba Cotações)",""))))))</f>
        <v/>
      </c>
    </row>
    <row r="100" spans="2:8">
      <c r="B100" s="20"/>
      <c r="C100" s="21"/>
      <c r="D100" s="22"/>
      <c r="E100" s="23">
        <f>IFERROR(IF(B100="","",IF(YEAR(B100)&lt;&gt;2026,"",MONTH(B100))),"")</f>
        <v/>
      </c>
      <c r="F100" s="24">
        <f>IF(E100="","",IF(INDEX('Cotações'!$E$6:$E$17,E100)="","",INDEX('Cotações'!$E$6:$E$17,E100)))</f>
        <v/>
      </c>
      <c r="G100" s="25">
        <f>IF(OR(F100="",NOT(ISNUMBER(D100))),"",ROUND(D100*F100,2))</f>
        <v/>
      </c>
      <c r="H100" s="26">
        <f>IF(AND(B100="",D100=""),"",IF(B100="","Falta a data",IF(IFERROR(YEAR(B100),0)&lt;&gt;2026,"Use uma data de 2026",IF(D100="","Falta o valor",IF(NOT(ISNUMBER(D100)),"O valor precisa ser um número",IF(F100="","Falta a cotação deste mês (aba Cotações)",""))))))</f>
        <v/>
      </c>
    </row>
    <row r="101" spans="2:8">
      <c r="B101" s="20"/>
      <c r="C101" s="21"/>
      <c r="D101" s="22"/>
      <c r="E101" s="23">
        <f>IFERROR(IF(B101="","",IF(YEAR(B101)&lt;&gt;2026,"",MONTH(B101))),"")</f>
        <v/>
      </c>
      <c r="F101" s="24">
        <f>IF(E101="","",IF(INDEX('Cotações'!$E$6:$E$17,E101)="","",INDEX('Cotações'!$E$6:$E$17,E101)))</f>
        <v/>
      </c>
      <c r="G101" s="25">
        <f>IF(OR(F101="",NOT(ISNUMBER(D101))),"",ROUND(D101*F101,2))</f>
        <v/>
      </c>
      <c r="H101" s="26">
        <f>IF(AND(B101="",D101=""),"",IF(B101="","Falta a data",IF(IFERROR(YEAR(B101),0)&lt;&gt;2026,"Use uma data de 2026",IF(D101="","Falta o valor",IF(NOT(ISNUMBER(D101)),"O valor precisa ser um número",IF(F101="","Falta a cotação deste mês (aba Cotações)",""))))))</f>
        <v/>
      </c>
    </row>
    <row r="102" spans="2:8">
      <c r="B102" s="20"/>
      <c r="C102" s="21"/>
      <c r="D102" s="22"/>
      <c r="E102" s="23">
        <f>IFERROR(IF(B102="","",IF(YEAR(B102)&lt;&gt;2026,"",MONTH(B102))),"")</f>
        <v/>
      </c>
      <c r="F102" s="24">
        <f>IF(E102="","",IF(INDEX('Cotações'!$E$6:$E$17,E102)="","",INDEX('Cotações'!$E$6:$E$17,E102)))</f>
        <v/>
      </c>
      <c r="G102" s="25">
        <f>IF(OR(F102="",NOT(ISNUMBER(D102))),"",ROUND(D102*F102,2))</f>
        <v/>
      </c>
      <c r="H102" s="26">
        <f>IF(AND(B102="",D102=""),"",IF(B102="","Falta a data",IF(IFERROR(YEAR(B102),0)&lt;&gt;2026,"Use uma data de 2026",IF(D102="","Falta o valor",IF(NOT(ISNUMBER(D102)),"O valor precisa ser um número",IF(F102="","Falta a cotação deste mês (aba Cotações)",""))))))</f>
        <v/>
      </c>
    </row>
    <row r="103" spans="2:8">
      <c r="B103" s="20"/>
      <c r="C103" s="21"/>
      <c r="D103" s="22"/>
      <c r="E103" s="23">
        <f>IFERROR(IF(B103="","",IF(YEAR(B103)&lt;&gt;2026,"",MONTH(B103))),"")</f>
        <v/>
      </c>
      <c r="F103" s="24">
        <f>IF(E103="","",IF(INDEX('Cotações'!$E$6:$E$17,E103)="","",INDEX('Cotações'!$E$6:$E$17,E103)))</f>
        <v/>
      </c>
      <c r="G103" s="25">
        <f>IF(OR(F103="",NOT(ISNUMBER(D103))),"",ROUND(D103*F103,2))</f>
        <v/>
      </c>
      <c r="H103" s="26">
        <f>IF(AND(B103="",D103=""),"",IF(B103="","Falta a data",IF(IFERROR(YEAR(B103),0)&lt;&gt;2026,"Use uma data de 2026",IF(D103="","Falta o valor",IF(NOT(ISNUMBER(D103)),"O valor precisa ser um número",IF(F103="","Falta a cotação deste mês (aba Cotações)",""))))))</f>
        <v/>
      </c>
    </row>
    <row r="104" spans="2:8">
      <c r="B104" s="20"/>
      <c r="C104" s="21"/>
      <c r="D104" s="22"/>
      <c r="E104" s="23">
        <f>IFERROR(IF(B104="","",IF(YEAR(B104)&lt;&gt;2026,"",MONTH(B104))),"")</f>
        <v/>
      </c>
      <c r="F104" s="24">
        <f>IF(E104="","",IF(INDEX('Cotações'!$E$6:$E$17,E104)="","",INDEX('Cotações'!$E$6:$E$17,E104)))</f>
        <v/>
      </c>
      <c r="G104" s="25">
        <f>IF(OR(F104="",NOT(ISNUMBER(D104))),"",ROUND(D104*F104,2))</f>
        <v/>
      </c>
      <c r="H104" s="26">
        <f>IF(AND(B104="",D104=""),"",IF(B104="","Falta a data",IF(IFERROR(YEAR(B104),0)&lt;&gt;2026,"Use uma data de 2026",IF(D104="","Falta o valor",IF(NOT(ISNUMBER(D104)),"O valor precisa ser um número",IF(F104="","Falta a cotação deste mês (aba Cotações)",""))))))</f>
        <v/>
      </c>
    </row>
    <row r="105" spans="2:8">
      <c r="B105" s="20"/>
      <c r="C105" s="21"/>
      <c r="D105" s="22"/>
      <c r="E105" s="23">
        <f>IFERROR(IF(B105="","",IF(YEAR(B105)&lt;&gt;2026,"",MONTH(B105))),"")</f>
        <v/>
      </c>
      <c r="F105" s="24">
        <f>IF(E105="","",IF(INDEX('Cotações'!$E$6:$E$17,E105)="","",INDEX('Cotações'!$E$6:$E$17,E105)))</f>
        <v/>
      </c>
      <c r="G105" s="25">
        <f>IF(OR(F105="",NOT(ISNUMBER(D105))),"",ROUND(D105*F105,2))</f>
        <v/>
      </c>
      <c r="H105" s="26">
        <f>IF(AND(B105="",D105=""),"",IF(B105="","Falta a data",IF(IFERROR(YEAR(B105),0)&lt;&gt;2026,"Use uma data de 2026",IF(D105="","Falta o valor",IF(NOT(ISNUMBER(D105)),"O valor precisa ser um número",IF(F105="","Falta a cotação deste mês (aba Cotações)",""))))))</f>
        <v/>
      </c>
    </row>
    <row r="106" spans="2:8">
      <c r="B106" s="20"/>
      <c r="C106" s="21"/>
      <c r="D106" s="22"/>
      <c r="E106" s="23">
        <f>IFERROR(IF(B106="","",IF(YEAR(B106)&lt;&gt;2026,"",MONTH(B106))),"")</f>
        <v/>
      </c>
      <c r="F106" s="24">
        <f>IF(E106="","",IF(INDEX('Cotações'!$E$6:$E$17,E106)="","",INDEX('Cotações'!$E$6:$E$17,E106)))</f>
        <v/>
      </c>
      <c r="G106" s="25">
        <f>IF(OR(F106="",NOT(ISNUMBER(D106))),"",ROUND(D106*F106,2))</f>
        <v/>
      </c>
      <c r="H106" s="26">
        <f>IF(AND(B106="",D106=""),"",IF(B106="","Falta a data",IF(IFERROR(YEAR(B106),0)&lt;&gt;2026,"Use uma data de 2026",IF(D106="","Falta o valor",IF(NOT(ISNUMBER(D106)),"O valor precisa ser um número",IF(F106="","Falta a cotação deste mês (aba Cotações)",""))))))</f>
        <v/>
      </c>
    </row>
    <row r="107" spans="2:8">
      <c r="B107" s="20"/>
      <c r="C107" s="21"/>
      <c r="D107" s="22"/>
      <c r="E107" s="23">
        <f>IFERROR(IF(B107="","",IF(YEAR(B107)&lt;&gt;2026,"",MONTH(B107))),"")</f>
        <v/>
      </c>
      <c r="F107" s="24">
        <f>IF(E107="","",IF(INDEX('Cotações'!$E$6:$E$17,E107)="","",INDEX('Cotações'!$E$6:$E$17,E107)))</f>
        <v/>
      </c>
      <c r="G107" s="25">
        <f>IF(OR(F107="",NOT(ISNUMBER(D107))),"",ROUND(D107*F107,2))</f>
        <v/>
      </c>
      <c r="H107" s="26">
        <f>IF(AND(B107="",D107=""),"",IF(B107="","Falta a data",IF(IFERROR(YEAR(B107),0)&lt;&gt;2026,"Use uma data de 2026",IF(D107="","Falta o valor",IF(NOT(ISNUMBER(D107)),"O valor precisa ser um número",IF(F107="","Falta a cotação deste mês (aba Cotações)",""))))))</f>
        <v/>
      </c>
    </row>
    <row r="108" spans="2:8">
      <c r="B108" s="20"/>
      <c r="C108" s="21"/>
      <c r="D108" s="22"/>
      <c r="E108" s="23">
        <f>IFERROR(IF(B108="","",IF(YEAR(B108)&lt;&gt;2026,"",MONTH(B108))),"")</f>
        <v/>
      </c>
      <c r="F108" s="24">
        <f>IF(E108="","",IF(INDEX('Cotações'!$E$6:$E$17,E108)="","",INDEX('Cotações'!$E$6:$E$17,E108)))</f>
        <v/>
      </c>
      <c r="G108" s="25">
        <f>IF(OR(F108="",NOT(ISNUMBER(D108))),"",ROUND(D108*F108,2))</f>
        <v/>
      </c>
      <c r="H108" s="26">
        <f>IF(AND(B108="",D108=""),"",IF(B108="","Falta a data",IF(IFERROR(YEAR(B108),0)&lt;&gt;2026,"Use uma data de 2026",IF(D108="","Falta o valor",IF(NOT(ISNUMBER(D108)),"O valor precisa ser um número",IF(F108="","Falta a cotação deste mês (aba Cotações)",""))))))</f>
        <v/>
      </c>
    </row>
    <row r="109" spans="2:8">
      <c r="B109" s="20"/>
      <c r="C109" s="21"/>
      <c r="D109" s="22"/>
      <c r="E109" s="23">
        <f>IFERROR(IF(B109="","",IF(YEAR(B109)&lt;&gt;2026,"",MONTH(B109))),"")</f>
        <v/>
      </c>
      <c r="F109" s="24">
        <f>IF(E109="","",IF(INDEX('Cotações'!$E$6:$E$17,E109)="","",INDEX('Cotações'!$E$6:$E$17,E109)))</f>
        <v/>
      </c>
      <c r="G109" s="25">
        <f>IF(OR(F109="",NOT(ISNUMBER(D109))),"",ROUND(D109*F109,2))</f>
        <v/>
      </c>
      <c r="H109" s="26">
        <f>IF(AND(B109="",D109=""),"",IF(B109="","Falta a data",IF(IFERROR(YEAR(B109),0)&lt;&gt;2026,"Use uma data de 2026",IF(D109="","Falta o valor",IF(NOT(ISNUMBER(D109)),"O valor precisa ser um número",IF(F109="","Falta a cotação deste mês (aba Cotações)",""))))))</f>
        <v/>
      </c>
    </row>
    <row r="110" spans="2:8">
      <c r="B110" s="20"/>
      <c r="C110" s="21"/>
      <c r="D110" s="22"/>
      <c r="E110" s="23">
        <f>IFERROR(IF(B110="","",IF(YEAR(B110)&lt;&gt;2026,"",MONTH(B110))),"")</f>
        <v/>
      </c>
      <c r="F110" s="24">
        <f>IF(E110="","",IF(INDEX('Cotações'!$E$6:$E$17,E110)="","",INDEX('Cotações'!$E$6:$E$17,E110)))</f>
        <v/>
      </c>
      <c r="G110" s="25">
        <f>IF(OR(F110="",NOT(ISNUMBER(D110))),"",ROUND(D110*F110,2))</f>
        <v/>
      </c>
      <c r="H110" s="26">
        <f>IF(AND(B110="",D110=""),"",IF(B110="","Falta a data",IF(IFERROR(YEAR(B110),0)&lt;&gt;2026,"Use uma data de 2026",IF(D110="","Falta o valor",IF(NOT(ISNUMBER(D110)),"O valor precisa ser um número",IF(F110="","Falta a cotação deste mês (aba Cotações)",""))))))</f>
        <v/>
      </c>
    </row>
    <row r="111" spans="2:8">
      <c r="B111" s="20"/>
      <c r="C111" s="21"/>
      <c r="D111" s="22"/>
      <c r="E111" s="23">
        <f>IFERROR(IF(B111="","",IF(YEAR(B111)&lt;&gt;2026,"",MONTH(B111))),"")</f>
        <v/>
      </c>
      <c r="F111" s="24">
        <f>IF(E111="","",IF(INDEX('Cotações'!$E$6:$E$17,E111)="","",INDEX('Cotações'!$E$6:$E$17,E111)))</f>
        <v/>
      </c>
      <c r="G111" s="25">
        <f>IF(OR(F111="",NOT(ISNUMBER(D111))),"",ROUND(D111*F111,2))</f>
        <v/>
      </c>
      <c r="H111" s="26">
        <f>IF(AND(B111="",D111=""),"",IF(B111="","Falta a data",IF(IFERROR(YEAR(B111),0)&lt;&gt;2026,"Use uma data de 2026",IF(D111="","Falta o valor",IF(NOT(ISNUMBER(D111)),"O valor precisa ser um número",IF(F111="","Falta a cotação deste mês (aba Cotações)",""))))))</f>
        <v/>
      </c>
    </row>
    <row r="112" spans="2:8">
      <c r="B112" s="20"/>
      <c r="C112" s="21"/>
      <c r="D112" s="22"/>
      <c r="E112" s="23">
        <f>IFERROR(IF(B112="","",IF(YEAR(B112)&lt;&gt;2026,"",MONTH(B112))),"")</f>
        <v/>
      </c>
      <c r="F112" s="24">
        <f>IF(E112="","",IF(INDEX('Cotações'!$E$6:$E$17,E112)="","",INDEX('Cotações'!$E$6:$E$17,E112)))</f>
        <v/>
      </c>
      <c r="G112" s="25">
        <f>IF(OR(F112="",NOT(ISNUMBER(D112))),"",ROUND(D112*F112,2))</f>
        <v/>
      </c>
      <c r="H112" s="26">
        <f>IF(AND(B112="",D112=""),"",IF(B112="","Falta a data",IF(IFERROR(YEAR(B112),0)&lt;&gt;2026,"Use uma data de 2026",IF(D112="","Falta o valor",IF(NOT(ISNUMBER(D112)),"O valor precisa ser um número",IF(F112="","Falta a cotação deste mês (aba Cotações)",""))))))</f>
        <v/>
      </c>
    </row>
    <row r="113" spans="2:8">
      <c r="B113" s="20"/>
      <c r="C113" s="21"/>
      <c r="D113" s="22"/>
      <c r="E113" s="23">
        <f>IFERROR(IF(B113="","",IF(YEAR(B113)&lt;&gt;2026,"",MONTH(B113))),"")</f>
        <v/>
      </c>
      <c r="F113" s="24">
        <f>IF(E113="","",IF(INDEX('Cotações'!$E$6:$E$17,E113)="","",INDEX('Cotações'!$E$6:$E$17,E113)))</f>
        <v/>
      </c>
      <c r="G113" s="25">
        <f>IF(OR(F113="",NOT(ISNUMBER(D113))),"",ROUND(D113*F113,2))</f>
        <v/>
      </c>
      <c r="H113" s="26">
        <f>IF(AND(B113="",D113=""),"",IF(B113="","Falta a data",IF(IFERROR(YEAR(B113),0)&lt;&gt;2026,"Use uma data de 2026",IF(D113="","Falta o valor",IF(NOT(ISNUMBER(D113)),"O valor precisa ser um número",IF(F113="","Falta a cotação deste mês (aba Cotações)",""))))))</f>
        <v/>
      </c>
    </row>
    <row r="114" spans="2:8">
      <c r="B114" s="20"/>
      <c r="C114" s="21"/>
      <c r="D114" s="22"/>
      <c r="E114" s="23">
        <f>IFERROR(IF(B114="","",IF(YEAR(B114)&lt;&gt;2026,"",MONTH(B114))),"")</f>
        <v/>
      </c>
      <c r="F114" s="24">
        <f>IF(E114="","",IF(INDEX('Cotações'!$E$6:$E$17,E114)="","",INDEX('Cotações'!$E$6:$E$17,E114)))</f>
        <v/>
      </c>
      <c r="G114" s="25">
        <f>IF(OR(F114="",NOT(ISNUMBER(D114))),"",ROUND(D114*F114,2))</f>
        <v/>
      </c>
      <c r="H114" s="26">
        <f>IF(AND(B114="",D114=""),"",IF(B114="","Falta a data",IF(IFERROR(YEAR(B114),0)&lt;&gt;2026,"Use uma data de 2026",IF(D114="","Falta o valor",IF(NOT(ISNUMBER(D114)),"O valor precisa ser um número",IF(F114="","Falta a cotação deste mês (aba Cotações)",""))))))</f>
        <v/>
      </c>
    </row>
    <row r="115" spans="2:8">
      <c r="B115" s="20"/>
      <c r="C115" s="21"/>
      <c r="D115" s="22"/>
      <c r="E115" s="23">
        <f>IFERROR(IF(B115="","",IF(YEAR(B115)&lt;&gt;2026,"",MONTH(B115))),"")</f>
        <v/>
      </c>
      <c r="F115" s="24">
        <f>IF(E115="","",IF(INDEX('Cotações'!$E$6:$E$17,E115)="","",INDEX('Cotações'!$E$6:$E$17,E115)))</f>
        <v/>
      </c>
      <c r="G115" s="25">
        <f>IF(OR(F115="",NOT(ISNUMBER(D115))),"",ROUND(D115*F115,2))</f>
        <v/>
      </c>
      <c r="H115" s="26">
        <f>IF(AND(B115="",D115=""),"",IF(B115="","Falta a data",IF(IFERROR(YEAR(B115),0)&lt;&gt;2026,"Use uma data de 2026",IF(D115="","Falta o valor",IF(NOT(ISNUMBER(D115)),"O valor precisa ser um número",IF(F115="","Falta a cotação deste mês (aba Cotações)",""))))))</f>
        <v/>
      </c>
    </row>
    <row r="116" spans="2:8">
      <c r="B116" s="20"/>
      <c r="C116" s="21"/>
      <c r="D116" s="22"/>
      <c r="E116" s="23">
        <f>IFERROR(IF(B116="","",IF(YEAR(B116)&lt;&gt;2026,"",MONTH(B116))),"")</f>
        <v/>
      </c>
      <c r="F116" s="24">
        <f>IF(E116="","",IF(INDEX('Cotações'!$E$6:$E$17,E116)="","",INDEX('Cotações'!$E$6:$E$17,E116)))</f>
        <v/>
      </c>
      <c r="G116" s="25">
        <f>IF(OR(F116="",NOT(ISNUMBER(D116))),"",ROUND(D116*F116,2))</f>
        <v/>
      </c>
      <c r="H116" s="26">
        <f>IF(AND(B116="",D116=""),"",IF(B116="","Falta a data",IF(IFERROR(YEAR(B116),0)&lt;&gt;2026,"Use uma data de 2026",IF(D116="","Falta o valor",IF(NOT(ISNUMBER(D116)),"O valor precisa ser um número",IF(F116="","Falta a cotação deste mês (aba Cotações)",""))))))</f>
        <v/>
      </c>
    </row>
    <row r="117" spans="2:8">
      <c r="B117" s="20"/>
      <c r="C117" s="21"/>
      <c r="D117" s="22"/>
      <c r="E117" s="23">
        <f>IFERROR(IF(B117="","",IF(YEAR(B117)&lt;&gt;2026,"",MONTH(B117))),"")</f>
        <v/>
      </c>
      <c r="F117" s="24">
        <f>IF(E117="","",IF(INDEX('Cotações'!$E$6:$E$17,E117)="","",INDEX('Cotações'!$E$6:$E$17,E117)))</f>
        <v/>
      </c>
      <c r="G117" s="25">
        <f>IF(OR(F117="",NOT(ISNUMBER(D117))),"",ROUND(D117*F117,2))</f>
        <v/>
      </c>
      <c r="H117" s="26">
        <f>IF(AND(B117="",D117=""),"",IF(B117="","Falta a data",IF(IFERROR(YEAR(B117),0)&lt;&gt;2026,"Use uma data de 2026",IF(D117="","Falta o valor",IF(NOT(ISNUMBER(D117)),"O valor precisa ser um número",IF(F117="","Falta a cotação deste mês (aba Cotações)",""))))))</f>
        <v/>
      </c>
    </row>
    <row r="118" spans="2:8">
      <c r="B118" s="20"/>
      <c r="C118" s="21"/>
      <c r="D118" s="22"/>
      <c r="E118" s="23">
        <f>IFERROR(IF(B118="","",IF(YEAR(B118)&lt;&gt;2026,"",MONTH(B118))),"")</f>
        <v/>
      </c>
      <c r="F118" s="24">
        <f>IF(E118="","",IF(INDEX('Cotações'!$E$6:$E$17,E118)="","",INDEX('Cotações'!$E$6:$E$17,E118)))</f>
        <v/>
      </c>
      <c r="G118" s="25">
        <f>IF(OR(F118="",NOT(ISNUMBER(D118))),"",ROUND(D118*F118,2))</f>
        <v/>
      </c>
      <c r="H118" s="26">
        <f>IF(AND(B118="",D118=""),"",IF(B118="","Falta a data",IF(IFERROR(YEAR(B118),0)&lt;&gt;2026,"Use uma data de 2026",IF(D118="","Falta o valor",IF(NOT(ISNUMBER(D118)),"O valor precisa ser um número",IF(F118="","Falta a cotação deste mês (aba Cotações)",""))))))</f>
        <v/>
      </c>
    </row>
    <row r="119" spans="2:8">
      <c r="B119" s="20"/>
      <c r="C119" s="21"/>
      <c r="D119" s="22"/>
      <c r="E119" s="23">
        <f>IFERROR(IF(B119="","",IF(YEAR(B119)&lt;&gt;2026,"",MONTH(B119))),"")</f>
        <v/>
      </c>
      <c r="F119" s="24">
        <f>IF(E119="","",IF(INDEX('Cotações'!$E$6:$E$17,E119)="","",INDEX('Cotações'!$E$6:$E$17,E119)))</f>
        <v/>
      </c>
      <c r="G119" s="25">
        <f>IF(OR(F119="",NOT(ISNUMBER(D119))),"",ROUND(D119*F119,2))</f>
        <v/>
      </c>
      <c r="H119" s="26">
        <f>IF(AND(B119="",D119=""),"",IF(B119="","Falta a data",IF(IFERROR(YEAR(B119),0)&lt;&gt;2026,"Use uma data de 2026",IF(D119="","Falta o valor",IF(NOT(ISNUMBER(D119)),"O valor precisa ser um número",IF(F119="","Falta a cotação deste mês (aba Cotações)",""))))))</f>
        <v/>
      </c>
    </row>
    <row r="120" spans="2:8">
      <c r="B120" s="20"/>
      <c r="C120" s="21"/>
      <c r="D120" s="22"/>
      <c r="E120" s="23">
        <f>IFERROR(IF(B120="","",IF(YEAR(B120)&lt;&gt;2026,"",MONTH(B120))),"")</f>
        <v/>
      </c>
      <c r="F120" s="24">
        <f>IF(E120="","",IF(INDEX('Cotações'!$E$6:$E$17,E120)="","",INDEX('Cotações'!$E$6:$E$17,E120)))</f>
        <v/>
      </c>
      <c r="G120" s="25">
        <f>IF(OR(F120="",NOT(ISNUMBER(D120))),"",ROUND(D120*F120,2))</f>
        <v/>
      </c>
      <c r="H120" s="26">
        <f>IF(AND(B120="",D120=""),"",IF(B120="","Falta a data",IF(IFERROR(YEAR(B120),0)&lt;&gt;2026,"Use uma data de 2026",IF(D120="","Falta o valor",IF(NOT(ISNUMBER(D120)),"O valor precisa ser um número",IF(F120="","Falta a cotação deste mês (aba Cotações)",""))))))</f>
        <v/>
      </c>
    </row>
    <row r="121" spans="2:8">
      <c r="B121" s="20"/>
      <c r="C121" s="21"/>
      <c r="D121" s="22"/>
      <c r="E121" s="23">
        <f>IFERROR(IF(B121="","",IF(YEAR(B121)&lt;&gt;2026,"",MONTH(B121))),"")</f>
        <v/>
      </c>
      <c r="F121" s="24">
        <f>IF(E121="","",IF(INDEX('Cotações'!$E$6:$E$17,E121)="","",INDEX('Cotações'!$E$6:$E$17,E121)))</f>
        <v/>
      </c>
      <c r="G121" s="25">
        <f>IF(OR(F121="",NOT(ISNUMBER(D121))),"",ROUND(D121*F121,2))</f>
        <v/>
      </c>
      <c r="H121" s="26">
        <f>IF(AND(B121="",D121=""),"",IF(B121="","Falta a data",IF(IFERROR(YEAR(B121),0)&lt;&gt;2026,"Use uma data de 2026",IF(D121="","Falta o valor",IF(NOT(ISNUMBER(D121)),"O valor precisa ser um número",IF(F121="","Falta a cotação deste mês (aba Cotações)",""))))))</f>
        <v/>
      </c>
    </row>
    <row r="122" spans="2:8">
      <c r="B122" s="20"/>
      <c r="C122" s="21"/>
      <c r="D122" s="22"/>
      <c r="E122" s="23">
        <f>IFERROR(IF(B122="","",IF(YEAR(B122)&lt;&gt;2026,"",MONTH(B122))),"")</f>
        <v/>
      </c>
      <c r="F122" s="24">
        <f>IF(E122="","",IF(INDEX('Cotações'!$E$6:$E$17,E122)="","",INDEX('Cotações'!$E$6:$E$17,E122)))</f>
        <v/>
      </c>
      <c r="G122" s="25">
        <f>IF(OR(F122="",NOT(ISNUMBER(D122))),"",ROUND(D122*F122,2))</f>
        <v/>
      </c>
      <c r="H122" s="26">
        <f>IF(AND(B122="",D122=""),"",IF(B122="","Falta a data",IF(IFERROR(YEAR(B122),0)&lt;&gt;2026,"Use uma data de 2026",IF(D122="","Falta o valor",IF(NOT(ISNUMBER(D122)),"O valor precisa ser um número",IF(F122="","Falta a cotação deste mês (aba Cotações)",""))))))</f>
        <v/>
      </c>
    </row>
    <row r="123" spans="2:8">
      <c r="B123" s="20"/>
      <c r="C123" s="21"/>
      <c r="D123" s="22"/>
      <c r="E123" s="23">
        <f>IFERROR(IF(B123="","",IF(YEAR(B123)&lt;&gt;2026,"",MONTH(B123))),"")</f>
        <v/>
      </c>
      <c r="F123" s="24">
        <f>IF(E123="","",IF(INDEX('Cotações'!$E$6:$E$17,E123)="","",INDEX('Cotações'!$E$6:$E$17,E123)))</f>
        <v/>
      </c>
      <c r="G123" s="25">
        <f>IF(OR(F123="",NOT(ISNUMBER(D123))),"",ROUND(D123*F123,2))</f>
        <v/>
      </c>
      <c r="H123" s="26">
        <f>IF(AND(B123="",D123=""),"",IF(B123="","Falta a data",IF(IFERROR(YEAR(B123),0)&lt;&gt;2026,"Use uma data de 2026",IF(D123="","Falta o valor",IF(NOT(ISNUMBER(D123)),"O valor precisa ser um número",IF(F123="","Falta a cotação deste mês (aba Cotações)",""))))))</f>
        <v/>
      </c>
    </row>
    <row r="124" spans="2:8">
      <c r="B124" s="20"/>
      <c r="C124" s="21"/>
      <c r="D124" s="22"/>
      <c r="E124" s="23">
        <f>IFERROR(IF(B124="","",IF(YEAR(B124)&lt;&gt;2026,"",MONTH(B124))),"")</f>
        <v/>
      </c>
      <c r="F124" s="24">
        <f>IF(E124="","",IF(INDEX('Cotações'!$E$6:$E$17,E124)="","",INDEX('Cotações'!$E$6:$E$17,E124)))</f>
        <v/>
      </c>
      <c r="G124" s="25">
        <f>IF(OR(F124="",NOT(ISNUMBER(D124))),"",ROUND(D124*F124,2))</f>
        <v/>
      </c>
      <c r="H124" s="26">
        <f>IF(AND(B124="",D124=""),"",IF(B124="","Falta a data",IF(IFERROR(YEAR(B124),0)&lt;&gt;2026,"Use uma data de 2026",IF(D124="","Falta o valor",IF(NOT(ISNUMBER(D124)),"O valor precisa ser um número",IF(F124="","Falta a cotação deste mês (aba Cotações)",""))))))</f>
        <v/>
      </c>
    </row>
    <row r="125" spans="2:8">
      <c r="B125" s="20"/>
      <c r="C125" s="21"/>
      <c r="D125" s="22"/>
      <c r="E125" s="23">
        <f>IFERROR(IF(B125="","",IF(YEAR(B125)&lt;&gt;2026,"",MONTH(B125))),"")</f>
        <v/>
      </c>
      <c r="F125" s="24">
        <f>IF(E125="","",IF(INDEX('Cotações'!$E$6:$E$17,E125)="","",INDEX('Cotações'!$E$6:$E$17,E125)))</f>
        <v/>
      </c>
      <c r="G125" s="25">
        <f>IF(OR(F125="",NOT(ISNUMBER(D125))),"",ROUND(D125*F125,2))</f>
        <v/>
      </c>
      <c r="H125" s="26">
        <f>IF(AND(B125="",D125=""),"",IF(B125="","Falta a data",IF(IFERROR(YEAR(B125),0)&lt;&gt;2026,"Use uma data de 2026",IF(D125="","Falta o valor",IF(NOT(ISNUMBER(D125)),"O valor precisa ser um número",IF(F125="","Falta a cotação deste mês (aba Cotações)",""))))))</f>
        <v/>
      </c>
    </row>
    <row r="126" spans="2:8">
      <c r="B126" s="20"/>
      <c r="C126" s="21"/>
      <c r="D126" s="22"/>
      <c r="E126" s="23">
        <f>IFERROR(IF(B126="","",IF(YEAR(B126)&lt;&gt;2026,"",MONTH(B126))),"")</f>
        <v/>
      </c>
      <c r="F126" s="24">
        <f>IF(E126="","",IF(INDEX('Cotações'!$E$6:$E$17,E126)="","",INDEX('Cotações'!$E$6:$E$17,E126)))</f>
        <v/>
      </c>
      <c r="G126" s="25">
        <f>IF(OR(F126="",NOT(ISNUMBER(D126))),"",ROUND(D126*F126,2))</f>
        <v/>
      </c>
      <c r="H126" s="26">
        <f>IF(AND(B126="",D126=""),"",IF(B126="","Falta a data",IF(IFERROR(YEAR(B126),0)&lt;&gt;2026,"Use uma data de 2026",IF(D126="","Falta o valor",IF(NOT(ISNUMBER(D126)),"O valor precisa ser um número",IF(F126="","Falta a cotação deste mês (aba Cotações)",""))))))</f>
        <v/>
      </c>
    </row>
    <row r="127" spans="2:8">
      <c r="B127" s="20"/>
      <c r="C127" s="21"/>
      <c r="D127" s="22"/>
      <c r="E127" s="23">
        <f>IFERROR(IF(B127="","",IF(YEAR(B127)&lt;&gt;2026,"",MONTH(B127))),"")</f>
        <v/>
      </c>
      <c r="F127" s="24">
        <f>IF(E127="","",IF(INDEX('Cotações'!$E$6:$E$17,E127)="","",INDEX('Cotações'!$E$6:$E$17,E127)))</f>
        <v/>
      </c>
      <c r="G127" s="25">
        <f>IF(OR(F127="",NOT(ISNUMBER(D127))),"",ROUND(D127*F127,2))</f>
        <v/>
      </c>
      <c r="H127" s="26">
        <f>IF(AND(B127="",D127=""),"",IF(B127="","Falta a data",IF(IFERROR(YEAR(B127),0)&lt;&gt;2026,"Use uma data de 2026",IF(D127="","Falta o valor",IF(NOT(ISNUMBER(D127)),"O valor precisa ser um número",IF(F127="","Falta a cotação deste mês (aba Cotações)",""))))))</f>
        <v/>
      </c>
    </row>
    <row r="128" spans="2:8">
      <c r="B128" s="20"/>
      <c r="C128" s="21"/>
      <c r="D128" s="22"/>
      <c r="E128" s="23">
        <f>IFERROR(IF(B128="","",IF(YEAR(B128)&lt;&gt;2026,"",MONTH(B128))),"")</f>
        <v/>
      </c>
      <c r="F128" s="24">
        <f>IF(E128="","",IF(INDEX('Cotações'!$E$6:$E$17,E128)="","",INDEX('Cotações'!$E$6:$E$17,E128)))</f>
        <v/>
      </c>
      <c r="G128" s="25">
        <f>IF(OR(F128="",NOT(ISNUMBER(D128))),"",ROUND(D128*F128,2))</f>
        <v/>
      </c>
      <c r="H128" s="26">
        <f>IF(AND(B128="",D128=""),"",IF(B128="","Falta a data",IF(IFERROR(YEAR(B128),0)&lt;&gt;2026,"Use uma data de 2026",IF(D128="","Falta o valor",IF(NOT(ISNUMBER(D128)),"O valor precisa ser um número",IF(F128="","Falta a cotação deste mês (aba Cotações)",""))))))</f>
        <v/>
      </c>
    </row>
    <row r="129" spans="2:8">
      <c r="B129" s="20"/>
      <c r="C129" s="21"/>
      <c r="D129" s="22"/>
      <c r="E129" s="23">
        <f>IFERROR(IF(B129="","",IF(YEAR(B129)&lt;&gt;2026,"",MONTH(B129))),"")</f>
        <v/>
      </c>
      <c r="F129" s="24">
        <f>IF(E129="","",IF(INDEX('Cotações'!$E$6:$E$17,E129)="","",INDEX('Cotações'!$E$6:$E$17,E129)))</f>
        <v/>
      </c>
      <c r="G129" s="25">
        <f>IF(OR(F129="",NOT(ISNUMBER(D129))),"",ROUND(D129*F129,2))</f>
        <v/>
      </c>
      <c r="H129" s="26">
        <f>IF(AND(B129="",D129=""),"",IF(B129="","Falta a data",IF(IFERROR(YEAR(B129),0)&lt;&gt;2026,"Use uma data de 2026",IF(D129="","Falta o valor",IF(NOT(ISNUMBER(D129)),"O valor precisa ser um número",IF(F129="","Falta a cotação deste mês (aba Cotações)",""))))))</f>
        <v/>
      </c>
    </row>
    <row r="130" spans="2:8">
      <c r="B130" s="20"/>
      <c r="C130" s="21"/>
      <c r="D130" s="22"/>
      <c r="E130" s="23">
        <f>IFERROR(IF(B130="","",IF(YEAR(B130)&lt;&gt;2026,"",MONTH(B130))),"")</f>
        <v/>
      </c>
      <c r="F130" s="24">
        <f>IF(E130="","",IF(INDEX('Cotações'!$E$6:$E$17,E130)="","",INDEX('Cotações'!$E$6:$E$17,E130)))</f>
        <v/>
      </c>
      <c r="G130" s="25">
        <f>IF(OR(F130="",NOT(ISNUMBER(D130))),"",ROUND(D130*F130,2))</f>
        <v/>
      </c>
      <c r="H130" s="26">
        <f>IF(AND(B130="",D130=""),"",IF(B130="","Falta a data",IF(IFERROR(YEAR(B130),0)&lt;&gt;2026,"Use uma data de 2026",IF(D130="","Falta o valor",IF(NOT(ISNUMBER(D130)),"O valor precisa ser um número",IF(F130="","Falta a cotação deste mês (aba Cotações)",""))))))</f>
        <v/>
      </c>
    </row>
    <row r="131" spans="2:8">
      <c r="B131" s="20"/>
      <c r="C131" s="21"/>
      <c r="D131" s="22"/>
      <c r="E131" s="23">
        <f>IFERROR(IF(B131="","",IF(YEAR(B131)&lt;&gt;2026,"",MONTH(B131))),"")</f>
        <v/>
      </c>
      <c r="F131" s="24">
        <f>IF(E131="","",IF(INDEX('Cotações'!$E$6:$E$17,E131)="","",INDEX('Cotações'!$E$6:$E$17,E131)))</f>
        <v/>
      </c>
      <c r="G131" s="25">
        <f>IF(OR(F131="",NOT(ISNUMBER(D131))),"",ROUND(D131*F131,2))</f>
        <v/>
      </c>
      <c r="H131" s="26">
        <f>IF(AND(B131="",D131=""),"",IF(B131="","Falta a data",IF(IFERROR(YEAR(B131),0)&lt;&gt;2026,"Use uma data de 2026",IF(D131="","Falta o valor",IF(NOT(ISNUMBER(D131)),"O valor precisa ser um número",IF(F131="","Falta a cotação deste mês (aba Cotações)",""))))))</f>
        <v/>
      </c>
    </row>
    <row r="132" spans="2:8">
      <c r="B132" s="20"/>
      <c r="C132" s="21"/>
      <c r="D132" s="22"/>
      <c r="E132" s="23">
        <f>IFERROR(IF(B132="","",IF(YEAR(B132)&lt;&gt;2026,"",MONTH(B132))),"")</f>
        <v/>
      </c>
      <c r="F132" s="24">
        <f>IF(E132="","",IF(INDEX('Cotações'!$E$6:$E$17,E132)="","",INDEX('Cotações'!$E$6:$E$17,E132)))</f>
        <v/>
      </c>
      <c r="G132" s="25">
        <f>IF(OR(F132="",NOT(ISNUMBER(D132))),"",ROUND(D132*F132,2))</f>
        <v/>
      </c>
      <c r="H132" s="26">
        <f>IF(AND(B132="",D132=""),"",IF(B132="","Falta a data",IF(IFERROR(YEAR(B132),0)&lt;&gt;2026,"Use uma data de 2026",IF(D132="","Falta o valor",IF(NOT(ISNUMBER(D132)),"O valor precisa ser um número",IF(F132="","Falta a cotação deste mês (aba Cotações)",""))))))</f>
        <v/>
      </c>
    </row>
    <row r="133" spans="2:8">
      <c r="B133" s="20"/>
      <c r="C133" s="21"/>
      <c r="D133" s="22"/>
      <c r="E133" s="23">
        <f>IFERROR(IF(B133="","",IF(YEAR(B133)&lt;&gt;2026,"",MONTH(B133))),"")</f>
        <v/>
      </c>
      <c r="F133" s="24">
        <f>IF(E133="","",IF(INDEX('Cotações'!$E$6:$E$17,E133)="","",INDEX('Cotações'!$E$6:$E$17,E133)))</f>
        <v/>
      </c>
      <c r="G133" s="25">
        <f>IF(OR(F133="",NOT(ISNUMBER(D133))),"",ROUND(D133*F133,2))</f>
        <v/>
      </c>
      <c r="H133" s="26">
        <f>IF(AND(B133="",D133=""),"",IF(B133="","Falta a data",IF(IFERROR(YEAR(B133),0)&lt;&gt;2026,"Use uma data de 2026",IF(D133="","Falta o valor",IF(NOT(ISNUMBER(D133)),"O valor precisa ser um número",IF(F133="","Falta a cotação deste mês (aba Cotações)",""))))))</f>
        <v/>
      </c>
    </row>
    <row r="134" spans="2:8">
      <c r="B134" s="20"/>
      <c r="C134" s="21"/>
      <c r="D134" s="22"/>
      <c r="E134" s="23">
        <f>IFERROR(IF(B134="","",IF(YEAR(B134)&lt;&gt;2026,"",MONTH(B134))),"")</f>
        <v/>
      </c>
      <c r="F134" s="24">
        <f>IF(E134="","",IF(INDEX('Cotações'!$E$6:$E$17,E134)="","",INDEX('Cotações'!$E$6:$E$17,E134)))</f>
        <v/>
      </c>
      <c r="G134" s="25">
        <f>IF(OR(F134="",NOT(ISNUMBER(D134))),"",ROUND(D134*F134,2))</f>
        <v/>
      </c>
      <c r="H134" s="26">
        <f>IF(AND(B134="",D134=""),"",IF(B134="","Falta a data",IF(IFERROR(YEAR(B134),0)&lt;&gt;2026,"Use uma data de 2026",IF(D134="","Falta o valor",IF(NOT(ISNUMBER(D134)),"O valor precisa ser um número",IF(F134="","Falta a cotação deste mês (aba Cotações)",""))))))</f>
        <v/>
      </c>
    </row>
    <row r="135" spans="2:8">
      <c r="B135" s="20"/>
      <c r="C135" s="21"/>
      <c r="D135" s="22"/>
      <c r="E135" s="23">
        <f>IFERROR(IF(B135="","",IF(YEAR(B135)&lt;&gt;2026,"",MONTH(B135))),"")</f>
        <v/>
      </c>
      <c r="F135" s="24">
        <f>IF(E135="","",IF(INDEX('Cotações'!$E$6:$E$17,E135)="","",INDEX('Cotações'!$E$6:$E$17,E135)))</f>
        <v/>
      </c>
      <c r="G135" s="25">
        <f>IF(OR(F135="",NOT(ISNUMBER(D135))),"",ROUND(D135*F135,2))</f>
        <v/>
      </c>
      <c r="H135" s="26">
        <f>IF(AND(B135="",D135=""),"",IF(B135="","Falta a data",IF(IFERROR(YEAR(B135),0)&lt;&gt;2026,"Use uma data de 2026",IF(D135="","Falta o valor",IF(NOT(ISNUMBER(D135)),"O valor precisa ser um número",IF(F135="","Falta a cotação deste mês (aba Cotações)",""))))))</f>
        <v/>
      </c>
    </row>
    <row r="136" spans="2:8">
      <c r="B136" s="20"/>
      <c r="C136" s="21"/>
      <c r="D136" s="22"/>
      <c r="E136" s="23">
        <f>IFERROR(IF(B136="","",IF(YEAR(B136)&lt;&gt;2026,"",MONTH(B136))),"")</f>
        <v/>
      </c>
      <c r="F136" s="24">
        <f>IF(E136="","",IF(INDEX('Cotações'!$E$6:$E$17,E136)="","",INDEX('Cotações'!$E$6:$E$17,E136)))</f>
        <v/>
      </c>
      <c r="G136" s="25">
        <f>IF(OR(F136="",NOT(ISNUMBER(D136))),"",ROUND(D136*F136,2))</f>
        <v/>
      </c>
      <c r="H136" s="26">
        <f>IF(AND(B136="",D136=""),"",IF(B136="","Falta a data",IF(IFERROR(YEAR(B136),0)&lt;&gt;2026,"Use uma data de 2026",IF(D136="","Falta o valor",IF(NOT(ISNUMBER(D136)),"O valor precisa ser um número",IF(F136="","Falta a cotação deste mês (aba Cotações)",""))))))</f>
        <v/>
      </c>
    </row>
    <row r="137" spans="2:8">
      <c r="B137" s="20"/>
      <c r="C137" s="21"/>
      <c r="D137" s="22"/>
      <c r="E137" s="23">
        <f>IFERROR(IF(B137="","",IF(YEAR(B137)&lt;&gt;2026,"",MONTH(B137))),"")</f>
        <v/>
      </c>
      <c r="F137" s="24">
        <f>IF(E137="","",IF(INDEX('Cotações'!$E$6:$E$17,E137)="","",INDEX('Cotações'!$E$6:$E$17,E137)))</f>
        <v/>
      </c>
      <c r="G137" s="25">
        <f>IF(OR(F137="",NOT(ISNUMBER(D137))),"",ROUND(D137*F137,2))</f>
        <v/>
      </c>
      <c r="H137" s="26">
        <f>IF(AND(B137="",D137=""),"",IF(B137="","Falta a data",IF(IFERROR(YEAR(B137),0)&lt;&gt;2026,"Use uma data de 2026",IF(D137="","Falta o valor",IF(NOT(ISNUMBER(D137)),"O valor precisa ser um número",IF(F137="","Falta a cotação deste mês (aba Cotações)",""))))))</f>
        <v/>
      </c>
    </row>
    <row r="138" spans="2:8">
      <c r="B138" s="20"/>
      <c r="C138" s="21"/>
      <c r="D138" s="22"/>
      <c r="E138" s="23">
        <f>IFERROR(IF(B138="","",IF(YEAR(B138)&lt;&gt;2026,"",MONTH(B138))),"")</f>
        <v/>
      </c>
      <c r="F138" s="24">
        <f>IF(E138="","",IF(INDEX('Cotações'!$E$6:$E$17,E138)="","",INDEX('Cotações'!$E$6:$E$17,E138)))</f>
        <v/>
      </c>
      <c r="G138" s="25">
        <f>IF(OR(F138="",NOT(ISNUMBER(D138))),"",ROUND(D138*F138,2))</f>
        <v/>
      </c>
      <c r="H138" s="26">
        <f>IF(AND(B138="",D138=""),"",IF(B138="","Falta a data",IF(IFERROR(YEAR(B138),0)&lt;&gt;2026,"Use uma data de 2026",IF(D138="","Falta o valor",IF(NOT(ISNUMBER(D138)),"O valor precisa ser um número",IF(F138="","Falta a cotação deste mês (aba Cotações)",""))))))</f>
        <v/>
      </c>
    </row>
    <row r="139" spans="2:8">
      <c r="B139" s="20"/>
      <c r="C139" s="21"/>
      <c r="D139" s="22"/>
      <c r="E139" s="23">
        <f>IFERROR(IF(B139="","",IF(YEAR(B139)&lt;&gt;2026,"",MONTH(B139))),"")</f>
        <v/>
      </c>
      <c r="F139" s="24">
        <f>IF(E139="","",IF(INDEX('Cotações'!$E$6:$E$17,E139)="","",INDEX('Cotações'!$E$6:$E$17,E139)))</f>
        <v/>
      </c>
      <c r="G139" s="25">
        <f>IF(OR(F139="",NOT(ISNUMBER(D139))),"",ROUND(D139*F139,2))</f>
        <v/>
      </c>
      <c r="H139" s="26">
        <f>IF(AND(B139="",D139=""),"",IF(B139="","Falta a data",IF(IFERROR(YEAR(B139),0)&lt;&gt;2026,"Use uma data de 2026",IF(D139="","Falta o valor",IF(NOT(ISNUMBER(D139)),"O valor precisa ser um número",IF(F139="","Falta a cotação deste mês (aba Cotações)",""))))))</f>
        <v/>
      </c>
    </row>
    <row r="140" spans="2:8">
      <c r="B140" s="20"/>
      <c r="C140" s="21"/>
      <c r="D140" s="22"/>
      <c r="E140" s="23">
        <f>IFERROR(IF(B140="","",IF(YEAR(B140)&lt;&gt;2026,"",MONTH(B140))),"")</f>
        <v/>
      </c>
      <c r="F140" s="24">
        <f>IF(E140="","",IF(INDEX('Cotações'!$E$6:$E$17,E140)="","",INDEX('Cotações'!$E$6:$E$17,E140)))</f>
        <v/>
      </c>
      <c r="G140" s="25">
        <f>IF(OR(F140="",NOT(ISNUMBER(D140))),"",ROUND(D140*F140,2))</f>
        <v/>
      </c>
      <c r="H140" s="26">
        <f>IF(AND(B140="",D140=""),"",IF(B140="","Falta a data",IF(IFERROR(YEAR(B140),0)&lt;&gt;2026,"Use uma data de 2026",IF(D140="","Falta o valor",IF(NOT(ISNUMBER(D140)),"O valor precisa ser um número",IF(F140="","Falta a cotação deste mês (aba Cotações)",""))))))</f>
        <v/>
      </c>
    </row>
    <row r="141" spans="2:8">
      <c r="B141" s="20"/>
      <c r="C141" s="21"/>
      <c r="D141" s="22"/>
      <c r="E141" s="23">
        <f>IFERROR(IF(B141="","",IF(YEAR(B141)&lt;&gt;2026,"",MONTH(B141))),"")</f>
        <v/>
      </c>
      <c r="F141" s="24">
        <f>IF(E141="","",IF(INDEX('Cotações'!$E$6:$E$17,E141)="","",INDEX('Cotações'!$E$6:$E$17,E141)))</f>
        <v/>
      </c>
      <c r="G141" s="25">
        <f>IF(OR(F141="",NOT(ISNUMBER(D141))),"",ROUND(D141*F141,2))</f>
        <v/>
      </c>
      <c r="H141" s="26">
        <f>IF(AND(B141="",D141=""),"",IF(B141="","Falta a data",IF(IFERROR(YEAR(B141),0)&lt;&gt;2026,"Use uma data de 2026",IF(D141="","Falta o valor",IF(NOT(ISNUMBER(D141)),"O valor precisa ser um número",IF(F141="","Falta a cotação deste mês (aba Cotações)",""))))))</f>
        <v/>
      </c>
    </row>
    <row r="142" spans="2:8">
      <c r="B142" s="20"/>
      <c r="C142" s="21"/>
      <c r="D142" s="22"/>
      <c r="E142" s="23">
        <f>IFERROR(IF(B142="","",IF(YEAR(B142)&lt;&gt;2026,"",MONTH(B142))),"")</f>
        <v/>
      </c>
      <c r="F142" s="24">
        <f>IF(E142="","",IF(INDEX('Cotações'!$E$6:$E$17,E142)="","",INDEX('Cotações'!$E$6:$E$17,E142)))</f>
        <v/>
      </c>
      <c r="G142" s="25">
        <f>IF(OR(F142="",NOT(ISNUMBER(D142))),"",ROUND(D142*F142,2))</f>
        <v/>
      </c>
      <c r="H142" s="26">
        <f>IF(AND(B142="",D142=""),"",IF(B142="","Falta a data",IF(IFERROR(YEAR(B142),0)&lt;&gt;2026,"Use uma data de 2026",IF(D142="","Falta o valor",IF(NOT(ISNUMBER(D142)),"O valor precisa ser um número",IF(F142="","Falta a cotação deste mês (aba Cotações)",""))))))</f>
        <v/>
      </c>
    </row>
    <row r="143" spans="2:8">
      <c r="B143" s="20"/>
      <c r="C143" s="21"/>
      <c r="D143" s="22"/>
      <c r="E143" s="23">
        <f>IFERROR(IF(B143="","",IF(YEAR(B143)&lt;&gt;2026,"",MONTH(B143))),"")</f>
        <v/>
      </c>
      <c r="F143" s="24">
        <f>IF(E143="","",IF(INDEX('Cotações'!$E$6:$E$17,E143)="","",INDEX('Cotações'!$E$6:$E$17,E143)))</f>
        <v/>
      </c>
      <c r="G143" s="25">
        <f>IF(OR(F143="",NOT(ISNUMBER(D143))),"",ROUND(D143*F143,2))</f>
        <v/>
      </c>
      <c r="H143" s="26">
        <f>IF(AND(B143="",D143=""),"",IF(B143="","Falta a data",IF(IFERROR(YEAR(B143),0)&lt;&gt;2026,"Use uma data de 2026",IF(D143="","Falta o valor",IF(NOT(ISNUMBER(D143)),"O valor precisa ser um número",IF(F143="","Falta a cotação deste mês (aba Cotações)",""))))))</f>
        <v/>
      </c>
    </row>
    <row r="144" spans="2:8">
      <c r="B144" s="20"/>
      <c r="C144" s="21"/>
      <c r="D144" s="22"/>
      <c r="E144" s="23">
        <f>IFERROR(IF(B144="","",IF(YEAR(B144)&lt;&gt;2026,"",MONTH(B144))),"")</f>
        <v/>
      </c>
      <c r="F144" s="24">
        <f>IF(E144="","",IF(INDEX('Cotações'!$E$6:$E$17,E144)="","",INDEX('Cotações'!$E$6:$E$17,E144)))</f>
        <v/>
      </c>
      <c r="G144" s="25">
        <f>IF(OR(F144="",NOT(ISNUMBER(D144))),"",ROUND(D144*F144,2))</f>
        <v/>
      </c>
      <c r="H144" s="26">
        <f>IF(AND(B144="",D144=""),"",IF(B144="","Falta a data",IF(IFERROR(YEAR(B144),0)&lt;&gt;2026,"Use uma data de 2026",IF(D144="","Falta o valor",IF(NOT(ISNUMBER(D144)),"O valor precisa ser um número",IF(F144="","Falta a cotação deste mês (aba Cotações)",""))))))</f>
        <v/>
      </c>
    </row>
    <row r="145" spans="2:8">
      <c r="B145" s="20"/>
      <c r="C145" s="21"/>
      <c r="D145" s="22"/>
      <c r="E145" s="23">
        <f>IFERROR(IF(B145="","",IF(YEAR(B145)&lt;&gt;2026,"",MONTH(B145))),"")</f>
        <v/>
      </c>
      <c r="F145" s="24">
        <f>IF(E145="","",IF(INDEX('Cotações'!$E$6:$E$17,E145)="","",INDEX('Cotações'!$E$6:$E$17,E145)))</f>
        <v/>
      </c>
      <c r="G145" s="25">
        <f>IF(OR(F145="",NOT(ISNUMBER(D145))),"",ROUND(D145*F145,2))</f>
        <v/>
      </c>
      <c r="H145" s="26">
        <f>IF(AND(B145="",D145=""),"",IF(B145="","Falta a data",IF(IFERROR(YEAR(B145),0)&lt;&gt;2026,"Use uma data de 2026",IF(D145="","Falta o valor",IF(NOT(ISNUMBER(D145)),"O valor precisa ser um número",IF(F145="","Falta a cotação deste mês (aba Cotações)",""))))))</f>
        <v/>
      </c>
    </row>
    <row r="146" spans="2:8">
      <c r="B146" s="20"/>
      <c r="C146" s="21"/>
      <c r="D146" s="22"/>
      <c r="E146" s="23">
        <f>IFERROR(IF(B146="","",IF(YEAR(B146)&lt;&gt;2026,"",MONTH(B146))),"")</f>
        <v/>
      </c>
      <c r="F146" s="24">
        <f>IF(E146="","",IF(INDEX('Cotações'!$E$6:$E$17,E146)="","",INDEX('Cotações'!$E$6:$E$17,E146)))</f>
        <v/>
      </c>
      <c r="G146" s="25">
        <f>IF(OR(F146="",NOT(ISNUMBER(D146))),"",ROUND(D146*F146,2))</f>
        <v/>
      </c>
      <c r="H146" s="26">
        <f>IF(AND(B146="",D146=""),"",IF(B146="","Falta a data",IF(IFERROR(YEAR(B146),0)&lt;&gt;2026,"Use uma data de 2026",IF(D146="","Falta o valor",IF(NOT(ISNUMBER(D146)),"O valor precisa ser um número",IF(F146="","Falta a cotação deste mês (aba Cotações)",""))))))</f>
        <v/>
      </c>
    </row>
    <row r="147" spans="2:8">
      <c r="B147" s="20"/>
      <c r="C147" s="21"/>
      <c r="D147" s="22"/>
      <c r="E147" s="23">
        <f>IFERROR(IF(B147="","",IF(YEAR(B147)&lt;&gt;2026,"",MONTH(B147))),"")</f>
        <v/>
      </c>
      <c r="F147" s="24">
        <f>IF(E147="","",IF(INDEX('Cotações'!$E$6:$E$17,E147)="","",INDEX('Cotações'!$E$6:$E$17,E147)))</f>
        <v/>
      </c>
      <c r="G147" s="25">
        <f>IF(OR(F147="",NOT(ISNUMBER(D147))),"",ROUND(D147*F147,2))</f>
        <v/>
      </c>
      <c r="H147" s="26">
        <f>IF(AND(B147="",D147=""),"",IF(B147="","Falta a data",IF(IFERROR(YEAR(B147),0)&lt;&gt;2026,"Use uma data de 2026",IF(D147="","Falta o valor",IF(NOT(ISNUMBER(D147)),"O valor precisa ser um número",IF(F147="","Falta a cotação deste mês (aba Cotações)",""))))))</f>
        <v/>
      </c>
    </row>
    <row r="148" spans="2:8">
      <c r="B148" s="20"/>
      <c r="C148" s="21"/>
      <c r="D148" s="22"/>
      <c r="E148" s="23">
        <f>IFERROR(IF(B148="","",IF(YEAR(B148)&lt;&gt;2026,"",MONTH(B148))),"")</f>
        <v/>
      </c>
      <c r="F148" s="24">
        <f>IF(E148="","",IF(INDEX('Cotações'!$E$6:$E$17,E148)="","",INDEX('Cotações'!$E$6:$E$17,E148)))</f>
        <v/>
      </c>
      <c r="G148" s="25">
        <f>IF(OR(F148="",NOT(ISNUMBER(D148))),"",ROUND(D148*F148,2))</f>
        <v/>
      </c>
      <c r="H148" s="26">
        <f>IF(AND(B148="",D148=""),"",IF(B148="","Falta a data",IF(IFERROR(YEAR(B148),0)&lt;&gt;2026,"Use uma data de 2026",IF(D148="","Falta o valor",IF(NOT(ISNUMBER(D148)),"O valor precisa ser um número",IF(F148="","Falta a cotação deste mês (aba Cotações)",""))))))</f>
        <v/>
      </c>
    </row>
    <row r="149" spans="2:8">
      <c r="B149" s="20"/>
      <c r="C149" s="21"/>
      <c r="D149" s="22"/>
      <c r="E149" s="23">
        <f>IFERROR(IF(B149="","",IF(YEAR(B149)&lt;&gt;2026,"",MONTH(B149))),"")</f>
        <v/>
      </c>
      <c r="F149" s="24">
        <f>IF(E149="","",IF(INDEX('Cotações'!$E$6:$E$17,E149)="","",INDEX('Cotações'!$E$6:$E$17,E149)))</f>
        <v/>
      </c>
      <c r="G149" s="25">
        <f>IF(OR(F149="",NOT(ISNUMBER(D149))),"",ROUND(D149*F149,2))</f>
        <v/>
      </c>
      <c r="H149" s="26">
        <f>IF(AND(B149="",D149=""),"",IF(B149="","Falta a data",IF(IFERROR(YEAR(B149),0)&lt;&gt;2026,"Use uma data de 2026",IF(D149="","Falta o valor",IF(NOT(ISNUMBER(D149)),"O valor precisa ser um número",IF(F149="","Falta a cotação deste mês (aba Cotações)",""))))))</f>
        <v/>
      </c>
    </row>
    <row r="150" spans="2:8">
      <c r="B150" s="20"/>
      <c r="C150" s="21"/>
      <c r="D150" s="22"/>
      <c r="E150" s="23">
        <f>IFERROR(IF(B150="","",IF(YEAR(B150)&lt;&gt;2026,"",MONTH(B150))),"")</f>
        <v/>
      </c>
      <c r="F150" s="24">
        <f>IF(E150="","",IF(INDEX('Cotações'!$E$6:$E$17,E150)="","",INDEX('Cotações'!$E$6:$E$17,E150)))</f>
        <v/>
      </c>
      <c r="G150" s="25">
        <f>IF(OR(F150="",NOT(ISNUMBER(D150))),"",ROUND(D150*F150,2))</f>
        <v/>
      </c>
      <c r="H150" s="26">
        <f>IF(AND(B150="",D150=""),"",IF(B150="","Falta a data",IF(IFERROR(YEAR(B150),0)&lt;&gt;2026,"Use uma data de 2026",IF(D150="","Falta o valor",IF(NOT(ISNUMBER(D150)),"O valor precisa ser um número",IF(F150="","Falta a cotação deste mês (aba Cotações)",""))))))</f>
        <v/>
      </c>
    </row>
    <row r="151" spans="2:8">
      <c r="B151" s="20"/>
      <c r="C151" s="21"/>
      <c r="D151" s="22"/>
      <c r="E151" s="23">
        <f>IFERROR(IF(B151="","",IF(YEAR(B151)&lt;&gt;2026,"",MONTH(B151))),"")</f>
        <v/>
      </c>
      <c r="F151" s="24">
        <f>IF(E151="","",IF(INDEX('Cotações'!$E$6:$E$17,E151)="","",INDEX('Cotações'!$E$6:$E$17,E151)))</f>
        <v/>
      </c>
      <c r="G151" s="25">
        <f>IF(OR(F151="",NOT(ISNUMBER(D151))),"",ROUND(D151*F151,2))</f>
        <v/>
      </c>
      <c r="H151" s="26">
        <f>IF(AND(B151="",D151=""),"",IF(B151="","Falta a data",IF(IFERROR(YEAR(B151),0)&lt;&gt;2026,"Use uma data de 2026",IF(D151="","Falta o valor",IF(NOT(ISNUMBER(D151)),"O valor precisa ser um número",IF(F151="","Falta a cotação deste mês (aba Cotações)",""))))))</f>
        <v/>
      </c>
    </row>
    <row r="152" spans="2:8">
      <c r="B152" s="20"/>
      <c r="C152" s="21"/>
      <c r="D152" s="22"/>
      <c r="E152" s="23">
        <f>IFERROR(IF(B152="","",IF(YEAR(B152)&lt;&gt;2026,"",MONTH(B152))),"")</f>
        <v/>
      </c>
      <c r="F152" s="24">
        <f>IF(E152="","",IF(INDEX('Cotações'!$E$6:$E$17,E152)="","",INDEX('Cotações'!$E$6:$E$17,E152)))</f>
        <v/>
      </c>
      <c r="G152" s="25">
        <f>IF(OR(F152="",NOT(ISNUMBER(D152))),"",ROUND(D152*F152,2))</f>
        <v/>
      </c>
      <c r="H152" s="26">
        <f>IF(AND(B152="",D152=""),"",IF(B152="","Falta a data",IF(IFERROR(YEAR(B152),0)&lt;&gt;2026,"Use uma data de 2026",IF(D152="","Falta o valor",IF(NOT(ISNUMBER(D152)),"O valor precisa ser um número",IF(F152="","Falta a cotação deste mês (aba Cotações)",""))))))</f>
        <v/>
      </c>
    </row>
    <row r="153" spans="2:8">
      <c r="B153" s="20"/>
      <c r="C153" s="21"/>
      <c r="D153" s="22"/>
      <c r="E153" s="23">
        <f>IFERROR(IF(B153="","",IF(YEAR(B153)&lt;&gt;2026,"",MONTH(B153))),"")</f>
        <v/>
      </c>
      <c r="F153" s="24">
        <f>IF(E153="","",IF(INDEX('Cotações'!$E$6:$E$17,E153)="","",INDEX('Cotações'!$E$6:$E$17,E153)))</f>
        <v/>
      </c>
      <c r="G153" s="25">
        <f>IF(OR(F153="",NOT(ISNUMBER(D153))),"",ROUND(D153*F153,2))</f>
        <v/>
      </c>
      <c r="H153" s="26">
        <f>IF(AND(B153="",D153=""),"",IF(B153="","Falta a data",IF(IFERROR(YEAR(B153),0)&lt;&gt;2026,"Use uma data de 2026",IF(D153="","Falta o valor",IF(NOT(ISNUMBER(D153)),"O valor precisa ser um número",IF(F153="","Falta a cotação deste mês (aba Cotações)",""))))))</f>
        <v/>
      </c>
    </row>
    <row r="154" spans="2:8">
      <c r="B154" s="20"/>
      <c r="C154" s="21"/>
      <c r="D154" s="22"/>
      <c r="E154" s="23">
        <f>IFERROR(IF(B154="","",IF(YEAR(B154)&lt;&gt;2026,"",MONTH(B154))),"")</f>
        <v/>
      </c>
      <c r="F154" s="24">
        <f>IF(E154="","",IF(INDEX('Cotações'!$E$6:$E$17,E154)="","",INDEX('Cotações'!$E$6:$E$17,E154)))</f>
        <v/>
      </c>
      <c r="G154" s="25">
        <f>IF(OR(F154="",NOT(ISNUMBER(D154))),"",ROUND(D154*F154,2))</f>
        <v/>
      </c>
      <c r="H154" s="26">
        <f>IF(AND(B154="",D154=""),"",IF(B154="","Falta a data",IF(IFERROR(YEAR(B154),0)&lt;&gt;2026,"Use uma data de 2026",IF(D154="","Falta o valor",IF(NOT(ISNUMBER(D154)),"O valor precisa ser um número",IF(F154="","Falta a cotação deste mês (aba Cotações)",""))))))</f>
        <v/>
      </c>
    </row>
    <row r="155" spans="2:8">
      <c r="B155" s="20"/>
      <c r="C155" s="21"/>
      <c r="D155" s="22"/>
      <c r="E155" s="23">
        <f>IFERROR(IF(B155="","",IF(YEAR(B155)&lt;&gt;2026,"",MONTH(B155))),"")</f>
        <v/>
      </c>
      <c r="F155" s="24">
        <f>IF(E155="","",IF(INDEX('Cotações'!$E$6:$E$17,E155)="","",INDEX('Cotações'!$E$6:$E$17,E155)))</f>
        <v/>
      </c>
      <c r="G155" s="25">
        <f>IF(OR(F155="",NOT(ISNUMBER(D155))),"",ROUND(D155*F155,2))</f>
        <v/>
      </c>
      <c r="H155" s="26">
        <f>IF(AND(B155="",D155=""),"",IF(B155="","Falta a data",IF(IFERROR(YEAR(B155),0)&lt;&gt;2026,"Use uma data de 2026",IF(D155="","Falta o valor",IF(NOT(ISNUMBER(D155)),"O valor precisa ser um número",IF(F155="","Falta a cotação deste mês (aba Cotações)",""))))))</f>
        <v/>
      </c>
    </row>
    <row r="156" spans="2:8">
      <c r="B156" s="20"/>
      <c r="C156" s="21"/>
      <c r="D156" s="22"/>
      <c r="E156" s="23">
        <f>IFERROR(IF(B156="","",IF(YEAR(B156)&lt;&gt;2026,"",MONTH(B156))),"")</f>
        <v/>
      </c>
      <c r="F156" s="24">
        <f>IF(E156="","",IF(INDEX('Cotações'!$E$6:$E$17,E156)="","",INDEX('Cotações'!$E$6:$E$17,E156)))</f>
        <v/>
      </c>
      <c r="G156" s="25">
        <f>IF(OR(F156="",NOT(ISNUMBER(D156))),"",ROUND(D156*F156,2))</f>
        <v/>
      </c>
      <c r="H156" s="26">
        <f>IF(AND(B156="",D156=""),"",IF(B156="","Falta a data",IF(IFERROR(YEAR(B156),0)&lt;&gt;2026,"Use uma data de 2026",IF(D156="","Falta o valor",IF(NOT(ISNUMBER(D156)),"O valor precisa ser um número",IF(F156="","Falta a cotação deste mês (aba Cotações)",""))))))</f>
        <v/>
      </c>
    </row>
    <row r="157" spans="2:8">
      <c r="B157" s="20"/>
      <c r="C157" s="21"/>
      <c r="D157" s="22"/>
      <c r="E157" s="23">
        <f>IFERROR(IF(B157="","",IF(YEAR(B157)&lt;&gt;2026,"",MONTH(B157))),"")</f>
        <v/>
      </c>
      <c r="F157" s="24">
        <f>IF(E157="","",IF(INDEX('Cotações'!$E$6:$E$17,E157)="","",INDEX('Cotações'!$E$6:$E$17,E157)))</f>
        <v/>
      </c>
      <c r="G157" s="25">
        <f>IF(OR(F157="",NOT(ISNUMBER(D157))),"",ROUND(D157*F157,2))</f>
        <v/>
      </c>
      <c r="H157" s="26">
        <f>IF(AND(B157="",D157=""),"",IF(B157="","Falta a data",IF(IFERROR(YEAR(B157),0)&lt;&gt;2026,"Use uma data de 2026",IF(D157="","Falta o valor",IF(NOT(ISNUMBER(D157)),"O valor precisa ser um número",IF(F157="","Falta a cotação deste mês (aba Cotações)",""))))))</f>
        <v/>
      </c>
    </row>
    <row r="158" spans="2:8">
      <c r="B158" s="20"/>
      <c r="C158" s="21"/>
      <c r="D158" s="22"/>
      <c r="E158" s="23">
        <f>IFERROR(IF(B158="","",IF(YEAR(B158)&lt;&gt;2026,"",MONTH(B158))),"")</f>
        <v/>
      </c>
      <c r="F158" s="24">
        <f>IF(E158="","",IF(INDEX('Cotações'!$E$6:$E$17,E158)="","",INDEX('Cotações'!$E$6:$E$17,E158)))</f>
        <v/>
      </c>
      <c r="G158" s="25">
        <f>IF(OR(F158="",NOT(ISNUMBER(D158))),"",ROUND(D158*F158,2))</f>
        <v/>
      </c>
      <c r="H158" s="26">
        <f>IF(AND(B158="",D158=""),"",IF(B158="","Falta a data",IF(IFERROR(YEAR(B158),0)&lt;&gt;2026,"Use uma data de 2026",IF(D158="","Falta o valor",IF(NOT(ISNUMBER(D158)),"O valor precisa ser um número",IF(F158="","Falta a cotação deste mês (aba Cotações)",""))))))</f>
        <v/>
      </c>
    </row>
    <row r="159" spans="2:8">
      <c r="B159" s="20"/>
      <c r="C159" s="21"/>
      <c r="D159" s="22"/>
      <c r="E159" s="23">
        <f>IFERROR(IF(B159="","",IF(YEAR(B159)&lt;&gt;2026,"",MONTH(B159))),"")</f>
        <v/>
      </c>
      <c r="F159" s="24">
        <f>IF(E159="","",IF(INDEX('Cotações'!$E$6:$E$17,E159)="","",INDEX('Cotações'!$E$6:$E$17,E159)))</f>
        <v/>
      </c>
      <c r="G159" s="25">
        <f>IF(OR(F159="",NOT(ISNUMBER(D159))),"",ROUND(D159*F159,2))</f>
        <v/>
      </c>
      <c r="H159" s="26">
        <f>IF(AND(B159="",D159=""),"",IF(B159="","Falta a data",IF(IFERROR(YEAR(B159),0)&lt;&gt;2026,"Use uma data de 2026",IF(D159="","Falta o valor",IF(NOT(ISNUMBER(D159)),"O valor precisa ser um número",IF(F159="","Falta a cotação deste mês (aba Cotações)",""))))))</f>
        <v/>
      </c>
    </row>
    <row r="160" spans="2:8">
      <c r="B160" s="20"/>
      <c r="C160" s="21"/>
      <c r="D160" s="22"/>
      <c r="E160" s="23">
        <f>IFERROR(IF(B160="","",IF(YEAR(B160)&lt;&gt;2026,"",MONTH(B160))),"")</f>
        <v/>
      </c>
      <c r="F160" s="24">
        <f>IF(E160="","",IF(INDEX('Cotações'!$E$6:$E$17,E160)="","",INDEX('Cotações'!$E$6:$E$17,E160)))</f>
        <v/>
      </c>
      <c r="G160" s="25">
        <f>IF(OR(F160="",NOT(ISNUMBER(D160))),"",ROUND(D160*F160,2))</f>
        <v/>
      </c>
      <c r="H160" s="26">
        <f>IF(AND(B160="",D160=""),"",IF(B160="","Falta a data",IF(IFERROR(YEAR(B160),0)&lt;&gt;2026,"Use uma data de 2026",IF(D160="","Falta o valor",IF(NOT(ISNUMBER(D160)),"O valor precisa ser um número",IF(F160="","Falta a cotação deste mês (aba Cotações)",""))))))</f>
        <v/>
      </c>
    </row>
    <row r="161" spans="2:8">
      <c r="B161" s="20"/>
      <c r="C161" s="21"/>
      <c r="D161" s="22"/>
      <c r="E161" s="23">
        <f>IFERROR(IF(B161="","",IF(YEAR(B161)&lt;&gt;2026,"",MONTH(B161))),"")</f>
        <v/>
      </c>
      <c r="F161" s="24">
        <f>IF(E161="","",IF(INDEX('Cotações'!$E$6:$E$17,E161)="","",INDEX('Cotações'!$E$6:$E$17,E161)))</f>
        <v/>
      </c>
      <c r="G161" s="25">
        <f>IF(OR(F161="",NOT(ISNUMBER(D161))),"",ROUND(D161*F161,2))</f>
        <v/>
      </c>
      <c r="H161" s="26">
        <f>IF(AND(B161="",D161=""),"",IF(B161="","Falta a data",IF(IFERROR(YEAR(B161),0)&lt;&gt;2026,"Use uma data de 2026",IF(D161="","Falta o valor",IF(NOT(ISNUMBER(D161)),"O valor precisa ser um número",IF(F161="","Falta a cotação deste mês (aba Cotações)",""))))))</f>
        <v/>
      </c>
    </row>
    <row r="162" spans="2:8">
      <c r="B162" s="20"/>
      <c r="C162" s="21"/>
      <c r="D162" s="22"/>
      <c r="E162" s="23">
        <f>IFERROR(IF(B162="","",IF(YEAR(B162)&lt;&gt;2026,"",MONTH(B162))),"")</f>
        <v/>
      </c>
      <c r="F162" s="24">
        <f>IF(E162="","",IF(INDEX('Cotações'!$E$6:$E$17,E162)="","",INDEX('Cotações'!$E$6:$E$17,E162)))</f>
        <v/>
      </c>
      <c r="G162" s="25">
        <f>IF(OR(F162="",NOT(ISNUMBER(D162))),"",ROUND(D162*F162,2))</f>
        <v/>
      </c>
      <c r="H162" s="26">
        <f>IF(AND(B162="",D162=""),"",IF(B162="","Falta a data",IF(IFERROR(YEAR(B162),0)&lt;&gt;2026,"Use uma data de 2026",IF(D162="","Falta o valor",IF(NOT(ISNUMBER(D162)),"O valor precisa ser um número",IF(F162="","Falta a cotação deste mês (aba Cotações)",""))))))</f>
        <v/>
      </c>
    </row>
    <row r="163" spans="2:8">
      <c r="B163" s="20"/>
      <c r="C163" s="21"/>
      <c r="D163" s="22"/>
      <c r="E163" s="23">
        <f>IFERROR(IF(B163="","",IF(YEAR(B163)&lt;&gt;2026,"",MONTH(B163))),"")</f>
        <v/>
      </c>
      <c r="F163" s="24">
        <f>IF(E163="","",IF(INDEX('Cotações'!$E$6:$E$17,E163)="","",INDEX('Cotações'!$E$6:$E$17,E163)))</f>
        <v/>
      </c>
      <c r="G163" s="25">
        <f>IF(OR(F163="",NOT(ISNUMBER(D163))),"",ROUND(D163*F163,2))</f>
        <v/>
      </c>
      <c r="H163" s="26">
        <f>IF(AND(B163="",D163=""),"",IF(B163="","Falta a data",IF(IFERROR(YEAR(B163),0)&lt;&gt;2026,"Use uma data de 2026",IF(D163="","Falta o valor",IF(NOT(ISNUMBER(D163)),"O valor precisa ser um número",IF(F163="","Falta a cotação deste mês (aba Cotações)",""))))))</f>
        <v/>
      </c>
    </row>
    <row r="164" spans="2:8">
      <c r="B164" s="20"/>
      <c r="C164" s="21"/>
      <c r="D164" s="22"/>
      <c r="E164" s="23">
        <f>IFERROR(IF(B164="","",IF(YEAR(B164)&lt;&gt;2026,"",MONTH(B164))),"")</f>
        <v/>
      </c>
      <c r="F164" s="24">
        <f>IF(E164="","",IF(INDEX('Cotações'!$E$6:$E$17,E164)="","",INDEX('Cotações'!$E$6:$E$17,E164)))</f>
        <v/>
      </c>
      <c r="G164" s="25">
        <f>IF(OR(F164="",NOT(ISNUMBER(D164))),"",ROUND(D164*F164,2))</f>
        <v/>
      </c>
      <c r="H164" s="26">
        <f>IF(AND(B164="",D164=""),"",IF(B164="","Falta a data",IF(IFERROR(YEAR(B164),0)&lt;&gt;2026,"Use uma data de 2026",IF(D164="","Falta o valor",IF(NOT(ISNUMBER(D164)),"O valor precisa ser um número",IF(F164="","Falta a cotação deste mês (aba Cotações)",""))))))</f>
        <v/>
      </c>
    </row>
    <row r="165" spans="2:8">
      <c r="B165" s="20"/>
      <c r="C165" s="21"/>
      <c r="D165" s="22"/>
      <c r="E165" s="23">
        <f>IFERROR(IF(B165="","",IF(YEAR(B165)&lt;&gt;2026,"",MONTH(B165))),"")</f>
        <v/>
      </c>
      <c r="F165" s="24">
        <f>IF(E165="","",IF(INDEX('Cotações'!$E$6:$E$17,E165)="","",INDEX('Cotações'!$E$6:$E$17,E165)))</f>
        <v/>
      </c>
      <c r="G165" s="25">
        <f>IF(OR(F165="",NOT(ISNUMBER(D165))),"",ROUND(D165*F165,2))</f>
        <v/>
      </c>
      <c r="H165" s="26">
        <f>IF(AND(B165="",D165=""),"",IF(B165="","Falta a data",IF(IFERROR(YEAR(B165),0)&lt;&gt;2026,"Use uma data de 2026",IF(D165="","Falta o valor",IF(NOT(ISNUMBER(D165)),"O valor precisa ser um número",IF(F165="","Falta a cotação deste mês (aba Cotações)",""))))))</f>
        <v/>
      </c>
    </row>
    <row r="166" spans="2:8">
      <c r="B166" s="20"/>
      <c r="C166" s="21"/>
      <c r="D166" s="22"/>
      <c r="E166" s="23">
        <f>IFERROR(IF(B166="","",IF(YEAR(B166)&lt;&gt;2026,"",MONTH(B166))),"")</f>
        <v/>
      </c>
      <c r="F166" s="24">
        <f>IF(E166="","",IF(INDEX('Cotações'!$E$6:$E$17,E166)="","",INDEX('Cotações'!$E$6:$E$17,E166)))</f>
        <v/>
      </c>
      <c r="G166" s="25">
        <f>IF(OR(F166="",NOT(ISNUMBER(D166))),"",ROUND(D166*F166,2))</f>
        <v/>
      </c>
      <c r="H166" s="26">
        <f>IF(AND(B166="",D166=""),"",IF(B166="","Falta a data",IF(IFERROR(YEAR(B166),0)&lt;&gt;2026,"Use uma data de 2026",IF(D166="","Falta o valor",IF(NOT(ISNUMBER(D166)),"O valor precisa ser um número",IF(F166="","Falta a cotação deste mês (aba Cotações)",""))))))</f>
        <v/>
      </c>
    </row>
    <row r="167" spans="2:8">
      <c r="B167" s="20"/>
      <c r="C167" s="21"/>
      <c r="D167" s="22"/>
      <c r="E167" s="23">
        <f>IFERROR(IF(B167="","",IF(YEAR(B167)&lt;&gt;2026,"",MONTH(B167))),"")</f>
        <v/>
      </c>
      <c r="F167" s="24">
        <f>IF(E167="","",IF(INDEX('Cotações'!$E$6:$E$17,E167)="","",INDEX('Cotações'!$E$6:$E$17,E167)))</f>
        <v/>
      </c>
      <c r="G167" s="25">
        <f>IF(OR(F167="",NOT(ISNUMBER(D167))),"",ROUND(D167*F167,2))</f>
        <v/>
      </c>
      <c r="H167" s="26">
        <f>IF(AND(B167="",D167=""),"",IF(B167="","Falta a data",IF(IFERROR(YEAR(B167),0)&lt;&gt;2026,"Use uma data de 2026",IF(D167="","Falta o valor",IF(NOT(ISNUMBER(D167)),"O valor precisa ser um número",IF(F167="","Falta a cotação deste mês (aba Cotações)",""))))))</f>
        <v/>
      </c>
    </row>
    <row r="168" spans="2:8">
      <c r="B168" s="20"/>
      <c r="C168" s="21"/>
      <c r="D168" s="22"/>
      <c r="E168" s="23">
        <f>IFERROR(IF(B168="","",IF(YEAR(B168)&lt;&gt;2026,"",MONTH(B168))),"")</f>
        <v/>
      </c>
      <c r="F168" s="24">
        <f>IF(E168="","",IF(INDEX('Cotações'!$E$6:$E$17,E168)="","",INDEX('Cotações'!$E$6:$E$17,E168)))</f>
        <v/>
      </c>
      <c r="G168" s="25">
        <f>IF(OR(F168="",NOT(ISNUMBER(D168))),"",ROUND(D168*F168,2))</f>
        <v/>
      </c>
      <c r="H168" s="26">
        <f>IF(AND(B168="",D168=""),"",IF(B168="","Falta a data",IF(IFERROR(YEAR(B168),0)&lt;&gt;2026,"Use uma data de 2026",IF(D168="","Falta o valor",IF(NOT(ISNUMBER(D168)),"O valor precisa ser um número",IF(F168="","Falta a cotação deste mês (aba Cotações)",""))))))</f>
        <v/>
      </c>
    </row>
    <row r="169" spans="2:8">
      <c r="B169" s="20"/>
      <c r="C169" s="21"/>
      <c r="D169" s="22"/>
      <c r="E169" s="23">
        <f>IFERROR(IF(B169="","",IF(YEAR(B169)&lt;&gt;2026,"",MONTH(B169))),"")</f>
        <v/>
      </c>
      <c r="F169" s="24">
        <f>IF(E169="","",IF(INDEX('Cotações'!$E$6:$E$17,E169)="","",INDEX('Cotações'!$E$6:$E$17,E169)))</f>
        <v/>
      </c>
      <c r="G169" s="25">
        <f>IF(OR(F169="",NOT(ISNUMBER(D169))),"",ROUND(D169*F169,2))</f>
        <v/>
      </c>
      <c r="H169" s="26">
        <f>IF(AND(B169="",D169=""),"",IF(B169="","Falta a data",IF(IFERROR(YEAR(B169),0)&lt;&gt;2026,"Use uma data de 2026",IF(D169="","Falta o valor",IF(NOT(ISNUMBER(D169)),"O valor precisa ser um número",IF(F169="","Falta a cotação deste mês (aba Cotações)",""))))))</f>
        <v/>
      </c>
    </row>
    <row r="170" spans="2:8">
      <c r="B170" s="20"/>
      <c r="C170" s="21"/>
      <c r="D170" s="22"/>
      <c r="E170" s="23">
        <f>IFERROR(IF(B170="","",IF(YEAR(B170)&lt;&gt;2026,"",MONTH(B170))),"")</f>
        <v/>
      </c>
      <c r="F170" s="24">
        <f>IF(E170="","",IF(INDEX('Cotações'!$E$6:$E$17,E170)="","",INDEX('Cotações'!$E$6:$E$17,E170)))</f>
        <v/>
      </c>
      <c r="G170" s="25">
        <f>IF(OR(F170="",NOT(ISNUMBER(D170))),"",ROUND(D170*F170,2))</f>
        <v/>
      </c>
      <c r="H170" s="26">
        <f>IF(AND(B170="",D170=""),"",IF(B170="","Falta a data",IF(IFERROR(YEAR(B170),0)&lt;&gt;2026,"Use uma data de 2026",IF(D170="","Falta o valor",IF(NOT(ISNUMBER(D170)),"O valor precisa ser um número",IF(F170="","Falta a cotação deste mês (aba Cotações)",""))))))</f>
        <v/>
      </c>
    </row>
    <row r="171" spans="2:8">
      <c r="B171" s="20"/>
      <c r="C171" s="21"/>
      <c r="D171" s="22"/>
      <c r="E171" s="23">
        <f>IFERROR(IF(B171="","",IF(YEAR(B171)&lt;&gt;2026,"",MONTH(B171))),"")</f>
        <v/>
      </c>
      <c r="F171" s="24">
        <f>IF(E171="","",IF(INDEX('Cotações'!$E$6:$E$17,E171)="","",INDEX('Cotações'!$E$6:$E$17,E171)))</f>
        <v/>
      </c>
      <c r="G171" s="25">
        <f>IF(OR(F171="",NOT(ISNUMBER(D171))),"",ROUND(D171*F171,2))</f>
        <v/>
      </c>
      <c r="H171" s="26">
        <f>IF(AND(B171="",D171=""),"",IF(B171="","Falta a data",IF(IFERROR(YEAR(B171),0)&lt;&gt;2026,"Use uma data de 2026",IF(D171="","Falta o valor",IF(NOT(ISNUMBER(D171)),"O valor precisa ser um número",IF(F171="","Falta a cotação deste mês (aba Cotações)",""))))))</f>
        <v/>
      </c>
    </row>
    <row r="172" spans="2:8">
      <c r="B172" s="20"/>
      <c r="C172" s="21"/>
      <c r="D172" s="22"/>
      <c r="E172" s="23">
        <f>IFERROR(IF(B172="","",IF(YEAR(B172)&lt;&gt;2026,"",MONTH(B172))),"")</f>
        <v/>
      </c>
      <c r="F172" s="24">
        <f>IF(E172="","",IF(INDEX('Cotações'!$E$6:$E$17,E172)="","",INDEX('Cotações'!$E$6:$E$17,E172)))</f>
        <v/>
      </c>
      <c r="G172" s="25">
        <f>IF(OR(F172="",NOT(ISNUMBER(D172))),"",ROUND(D172*F172,2))</f>
        <v/>
      </c>
      <c r="H172" s="26">
        <f>IF(AND(B172="",D172=""),"",IF(B172="","Falta a data",IF(IFERROR(YEAR(B172),0)&lt;&gt;2026,"Use uma data de 2026",IF(D172="","Falta o valor",IF(NOT(ISNUMBER(D172)),"O valor precisa ser um número",IF(F172="","Falta a cotação deste mês (aba Cotações)",""))))))</f>
        <v/>
      </c>
    </row>
    <row r="173" spans="2:8">
      <c r="B173" s="20"/>
      <c r="C173" s="21"/>
      <c r="D173" s="22"/>
      <c r="E173" s="23">
        <f>IFERROR(IF(B173="","",IF(YEAR(B173)&lt;&gt;2026,"",MONTH(B173))),"")</f>
        <v/>
      </c>
      <c r="F173" s="24">
        <f>IF(E173="","",IF(INDEX('Cotações'!$E$6:$E$17,E173)="","",INDEX('Cotações'!$E$6:$E$17,E173)))</f>
        <v/>
      </c>
      <c r="G173" s="25">
        <f>IF(OR(F173="",NOT(ISNUMBER(D173))),"",ROUND(D173*F173,2))</f>
        <v/>
      </c>
      <c r="H173" s="26">
        <f>IF(AND(B173="",D173=""),"",IF(B173="","Falta a data",IF(IFERROR(YEAR(B173),0)&lt;&gt;2026,"Use uma data de 2026",IF(D173="","Falta o valor",IF(NOT(ISNUMBER(D173)),"O valor precisa ser um número",IF(F173="","Falta a cotação deste mês (aba Cotações)",""))))))</f>
        <v/>
      </c>
    </row>
    <row r="174" spans="2:8">
      <c r="B174" s="20"/>
      <c r="C174" s="21"/>
      <c r="D174" s="22"/>
      <c r="E174" s="23">
        <f>IFERROR(IF(B174="","",IF(YEAR(B174)&lt;&gt;2026,"",MONTH(B174))),"")</f>
        <v/>
      </c>
      <c r="F174" s="24">
        <f>IF(E174="","",IF(INDEX('Cotações'!$E$6:$E$17,E174)="","",INDEX('Cotações'!$E$6:$E$17,E174)))</f>
        <v/>
      </c>
      <c r="G174" s="25">
        <f>IF(OR(F174="",NOT(ISNUMBER(D174))),"",ROUND(D174*F174,2))</f>
        <v/>
      </c>
      <c r="H174" s="26">
        <f>IF(AND(B174="",D174=""),"",IF(B174="","Falta a data",IF(IFERROR(YEAR(B174),0)&lt;&gt;2026,"Use uma data de 2026",IF(D174="","Falta o valor",IF(NOT(ISNUMBER(D174)),"O valor precisa ser um número",IF(F174="","Falta a cotação deste mês (aba Cotações)",""))))))</f>
        <v/>
      </c>
    </row>
    <row r="175" spans="2:8">
      <c r="B175" s="20"/>
      <c r="C175" s="21"/>
      <c r="D175" s="22"/>
      <c r="E175" s="23">
        <f>IFERROR(IF(B175="","",IF(YEAR(B175)&lt;&gt;2026,"",MONTH(B175))),"")</f>
        <v/>
      </c>
      <c r="F175" s="24">
        <f>IF(E175="","",IF(INDEX('Cotações'!$E$6:$E$17,E175)="","",INDEX('Cotações'!$E$6:$E$17,E175)))</f>
        <v/>
      </c>
      <c r="G175" s="25">
        <f>IF(OR(F175="",NOT(ISNUMBER(D175))),"",ROUND(D175*F175,2))</f>
        <v/>
      </c>
      <c r="H175" s="26">
        <f>IF(AND(B175="",D175=""),"",IF(B175="","Falta a data",IF(IFERROR(YEAR(B175),0)&lt;&gt;2026,"Use uma data de 2026",IF(D175="","Falta o valor",IF(NOT(ISNUMBER(D175)),"O valor precisa ser um número",IF(F175="","Falta a cotação deste mês (aba Cotações)",""))))))</f>
        <v/>
      </c>
    </row>
    <row r="176" spans="2:8">
      <c r="B176" s="20"/>
      <c r="C176" s="21"/>
      <c r="D176" s="22"/>
      <c r="E176" s="23">
        <f>IFERROR(IF(B176="","",IF(YEAR(B176)&lt;&gt;2026,"",MONTH(B176))),"")</f>
        <v/>
      </c>
      <c r="F176" s="24">
        <f>IF(E176="","",IF(INDEX('Cotações'!$E$6:$E$17,E176)="","",INDEX('Cotações'!$E$6:$E$17,E176)))</f>
        <v/>
      </c>
      <c r="G176" s="25">
        <f>IF(OR(F176="",NOT(ISNUMBER(D176))),"",ROUND(D176*F176,2))</f>
        <v/>
      </c>
      <c r="H176" s="26">
        <f>IF(AND(B176="",D176=""),"",IF(B176="","Falta a data",IF(IFERROR(YEAR(B176),0)&lt;&gt;2026,"Use uma data de 2026",IF(D176="","Falta o valor",IF(NOT(ISNUMBER(D176)),"O valor precisa ser um número",IF(F176="","Falta a cotação deste mês (aba Cotações)",""))))))</f>
        <v/>
      </c>
    </row>
    <row r="177" spans="2:8">
      <c r="B177" s="20"/>
      <c r="C177" s="21"/>
      <c r="D177" s="22"/>
      <c r="E177" s="23">
        <f>IFERROR(IF(B177="","",IF(YEAR(B177)&lt;&gt;2026,"",MONTH(B177))),"")</f>
        <v/>
      </c>
      <c r="F177" s="24">
        <f>IF(E177="","",IF(INDEX('Cotações'!$E$6:$E$17,E177)="","",INDEX('Cotações'!$E$6:$E$17,E177)))</f>
        <v/>
      </c>
      <c r="G177" s="25">
        <f>IF(OR(F177="",NOT(ISNUMBER(D177))),"",ROUND(D177*F177,2))</f>
        <v/>
      </c>
      <c r="H177" s="26">
        <f>IF(AND(B177="",D177=""),"",IF(B177="","Falta a data",IF(IFERROR(YEAR(B177),0)&lt;&gt;2026,"Use uma data de 2026",IF(D177="","Falta o valor",IF(NOT(ISNUMBER(D177)),"O valor precisa ser um número",IF(F177="","Falta a cotação deste mês (aba Cotações)",""))))))</f>
        <v/>
      </c>
    </row>
    <row r="178" spans="2:8">
      <c r="B178" s="20"/>
      <c r="C178" s="21"/>
      <c r="D178" s="22"/>
      <c r="E178" s="23">
        <f>IFERROR(IF(B178="","",IF(YEAR(B178)&lt;&gt;2026,"",MONTH(B178))),"")</f>
        <v/>
      </c>
      <c r="F178" s="24">
        <f>IF(E178="","",IF(INDEX('Cotações'!$E$6:$E$17,E178)="","",INDEX('Cotações'!$E$6:$E$17,E178)))</f>
        <v/>
      </c>
      <c r="G178" s="25">
        <f>IF(OR(F178="",NOT(ISNUMBER(D178))),"",ROUND(D178*F178,2))</f>
        <v/>
      </c>
      <c r="H178" s="26">
        <f>IF(AND(B178="",D178=""),"",IF(B178="","Falta a data",IF(IFERROR(YEAR(B178),0)&lt;&gt;2026,"Use uma data de 2026",IF(D178="","Falta o valor",IF(NOT(ISNUMBER(D178)),"O valor precisa ser um número",IF(F178="","Falta a cotação deste mês (aba Cotações)",""))))))</f>
        <v/>
      </c>
    </row>
    <row r="179" spans="2:8">
      <c r="B179" s="20"/>
      <c r="C179" s="21"/>
      <c r="D179" s="22"/>
      <c r="E179" s="23">
        <f>IFERROR(IF(B179="","",IF(YEAR(B179)&lt;&gt;2026,"",MONTH(B179))),"")</f>
        <v/>
      </c>
      <c r="F179" s="24">
        <f>IF(E179="","",IF(INDEX('Cotações'!$E$6:$E$17,E179)="","",INDEX('Cotações'!$E$6:$E$17,E179)))</f>
        <v/>
      </c>
      <c r="G179" s="25">
        <f>IF(OR(F179="",NOT(ISNUMBER(D179))),"",ROUND(D179*F179,2))</f>
        <v/>
      </c>
      <c r="H179" s="26">
        <f>IF(AND(B179="",D179=""),"",IF(B179="","Falta a data",IF(IFERROR(YEAR(B179),0)&lt;&gt;2026,"Use uma data de 2026",IF(D179="","Falta o valor",IF(NOT(ISNUMBER(D179)),"O valor precisa ser um número",IF(F179="","Falta a cotação deste mês (aba Cotações)",""))))))</f>
        <v/>
      </c>
    </row>
    <row r="180" spans="2:8">
      <c r="B180" s="20"/>
      <c r="C180" s="21"/>
      <c r="D180" s="22"/>
      <c r="E180" s="23">
        <f>IFERROR(IF(B180="","",IF(YEAR(B180)&lt;&gt;2026,"",MONTH(B180))),"")</f>
        <v/>
      </c>
      <c r="F180" s="24">
        <f>IF(E180="","",IF(INDEX('Cotações'!$E$6:$E$17,E180)="","",INDEX('Cotações'!$E$6:$E$17,E180)))</f>
        <v/>
      </c>
      <c r="G180" s="25">
        <f>IF(OR(F180="",NOT(ISNUMBER(D180))),"",ROUND(D180*F180,2))</f>
        <v/>
      </c>
      <c r="H180" s="26">
        <f>IF(AND(B180="",D180=""),"",IF(B180="","Falta a data",IF(IFERROR(YEAR(B180),0)&lt;&gt;2026,"Use uma data de 2026",IF(D180="","Falta o valor",IF(NOT(ISNUMBER(D180)),"O valor precisa ser um número",IF(F180="","Falta a cotação deste mês (aba Cotações)",""))))))</f>
        <v/>
      </c>
    </row>
    <row r="181" spans="2:8">
      <c r="B181" s="20"/>
      <c r="C181" s="21"/>
      <c r="D181" s="22"/>
      <c r="E181" s="23">
        <f>IFERROR(IF(B181="","",IF(YEAR(B181)&lt;&gt;2026,"",MONTH(B181))),"")</f>
        <v/>
      </c>
      <c r="F181" s="24">
        <f>IF(E181="","",IF(INDEX('Cotações'!$E$6:$E$17,E181)="","",INDEX('Cotações'!$E$6:$E$17,E181)))</f>
        <v/>
      </c>
      <c r="G181" s="25">
        <f>IF(OR(F181="",NOT(ISNUMBER(D181))),"",ROUND(D181*F181,2))</f>
        <v/>
      </c>
      <c r="H181" s="26">
        <f>IF(AND(B181="",D181=""),"",IF(B181="","Falta a data",IF(IFERROR(YEAR(B181),0)&lt;&gt;2026,"Use uma data de 2026",IF(D181="","Falta o valor",IF(NOT(ISNUMBER(D181)),"O valor precisa ser um número",IF(F181="","Falta a cotação deste mês (aba Cotações)",""))))))</f>
        <v/>
      </c>
    </row>
    <row r="182" spans="2:8">
      <c r="B182" s="20"/>
      <c r="C182" s="21"/>
      <c r="D182" s="22"/>
      <c r="E182" s="23">
        <f>IFERROR(IF(B182="","",IF(YEAR(B182)&lt;&gt;2026,"",MONTH(B182))),"")</f>
        <v/>
      </c>
      <c r="F182" s="24">
        <f>IF(E182="","",IF(INDEX('Cotações'!$E$6:$E$17,E182)="","",INDEX('Cotações'!$E$6:$E$17,E182)))</f>
        <v/>
      </c>
      <c r="G182" s="25">
        <f>IF(OR(F182="",NOT(ISNUMBER(D182))),"",ROUND(D182*F182,2))</f>
        <v/>
      </c>
      <c r="H182" s="26">
        <f>IF(AND(B182="",D182=""),"",IF(B182="","Falta a data",IF(IFERROR(YEAR(B182),0)&lt;&gt;2026,"Use uma data de 2026",IF(D182="","Falta o valor",IF(NOT(ISNUMBER(D182)),"O valor precisa ser um número",IF(F182="","Falta a cotação deste mês (aba Cotações)",""))))))</f>
        <v/>
      </c>
    </row>
    <row r="183" spans="2:8">
      <c r="B183" s="20"/>
      <c r="C183" s="21"/>
      <c r="D183" s="22"/>
      <c r="E183" s="23">
        <f>IFERROR(IF(B183="","",IF(YEAR(B183)&lt;&gt;2026,"",MONTH(B183))),"")</f>
        <v/>
      </c>
      <c r="F183" s="24">
        <f>IF(E183="","",IF(INDEX('Cotações'!$E$6:$E$17,E183)="","",INDEX('Cotações'!$E$6:$E$17,E183)))</f>
        <v/>
      </c>
      <c r="G183" s="25">
        <f>IF(OR(F183="",NOT(ISNUMBER(D183))),"",ROUND(D183*F183,2))</f>
        <v/>
      </c>
      <c r="H183" s="26">
        <f>IF(AND(B183="",D183=""),"",IF(B183="","Falta a data",IF(IFERROR(YEAR(B183),0)&lt;&gt;2026,"Use uma data de 2026",IF(D183="","Falta o valor",IF(NOT(ISNUMBER(D183)),"O valor precisa ser um número",IF(F183="","Falta a cotação deste mês (aba Cotações)",""))))))</f>
        <v/>
      </c>
    </row>
    <row r="184" spans="2:8">
      <c r="B184" s="20"/>
      <c r="C184" s="21"/>
      <c r="D184" s="22"/>
      <c r="E184" s="23">
        <f>IFERROR(IF(B184="","",IF(YEAR(B184)&lt;&gt;2026,"",MONTH(B184))),"")</f>
        <v/>
      </c>
      <c r="F184" s="24">
        <f>IF(E184="","",IF(INDEX('Cotações'!$E$6:$E$17,E184)="","",INDEX('Cotações'!$E$6:$E$17,E184)))</f>
        <v/>
      </c>
      <c r="G184" s="25">
        <f>IF(OR(F184="",NOT(ISNUMBER(D184))),"",ROUND(D184*F184,2))</f>
        <v/>
      </c>
      <c r="H184" s="26">
        <f>IF(AND(B184="",D184=""),"",IF(B184="","Falta a data",IF(IFERROR(YEAR(B184),0)&lt;&gt;2026,"Use uma data de 2026",IF(D184="","Falta o valor",IF(NOT(ISNUMBER(D184)),"O valor precisa ser um número",IF(F184="","Falta a cotação deste mês (aba Cotações)",""))))))</f>
        <v/>
      </c>
    </row>
    <row r="185" spans="2:8">
      <c r="B185" s="20"/>
      <c r="C185" s="21"/>
      <c r="D185" s="22"/>
      <c r="E185" s="23">
        <f>IFERROR(IF(B185="","",IF(YEAR(B185)&lt;&gt;2026,"",MONTH(B185))),"")</f>
        <v/>
      </c>
      <c r="F185" s="24">
        <f>IF(E185="","",IF(INDEX('Cotações'!$E$6:$E$17,E185)="","",INDEX('Cotações'!$E$6:$E$17,E185)))</f>
        <v/>
      </c>
      <c r="G185" s="25">
        <f>IF(OR(F185="",NOT(ISNUMBER(D185))),"",ROUND(D185*F185,2))</f>
        <v/>
      </c>
      <c r="H185" s="26">
        <f>IF(AND(B185="",D185=""),"",IF(B185="","Falta a data",IF(IFERROR(YEAR(B185),0)&lt;&gt;2026,"Use uma data de 2026",IF(D185="","Falta o valor",IF(NOT(ISNUMBER(D185)),"O valor precisa ser um número",IF(F185="","Falta a cotação deste mês (aba Cotações)",""))))))</f>
        <v/>
      </c>
    </row>
    <row r="186" spans="2:8">
      <c r="B186" s="20"/>
      <c r="C186" s="21"/>
      <c r="D186" s="22"/>
      <c r="E186" s="23">
        <f>IFERROR(IF(B186="","",IF(YEAR(B186)&lt;&gt;2026,"",MONTH(B186))),"")</f>
        <v/>
      </c>
      <c r="F186" s="24">
        <f>IF(E186="","",IF(INDEX('Cotações'!$E$6:$E$17,E186)="","",INDEX('Cotações'!$E$6:$E$17,E186)))</f>
        <v/>
      </c>
      <c r="G186" s="25">
        <f>IF(OR(F186="",NOT(ISNUMBER(D186))),"",ROUND(D186*F186,2))</f>
        <v/>
      </c>
      <c r="H186" s="26">
        <f>IF(AND(B186="",D186=""),"",IF(B186="","Falta a data",IF(IFERROR(YEAR(B186),0)&lt;&gt;2026,"Use uma data de 2026",IF(D186="","Falta o valor",IF(NOT(ISNUMBER(D186)),"O valor precisa ser um número",IF(F186="","Falta a cotação deste mês (aba Cotações)",""))))))</f>
        <v/>
      </c>
    </row>
    <row r="187" spans="2:8">
      <c r="B187" s="20"/>
      <c r="C187" s="21"/>
      <c r="D187" s="22"/>
      <c r="E187" s="23">
        <f>IFERROR(IF(B187="","",IF(YEAR(B187)&lt;&gt;2026,"",MONTH(B187))),"")</f>
        <v/>
      </c>
      <c r="F187" s="24">
        <f>IF(E187="","",IF(INDEX('Cotações'!$E$6:$E$17,E187)="","",INDEX('Cotações'!$E$6:$E$17,E187)))</f>
        <v/>
      </c>
      <c r="G187" s="25">
        <f>IF(OR(F187="",NOT(ISNUMBER(D187))),"",ROUND(D187*F187,2))</f>
        <v/>
      </c>
      <c r="H187" s="26">
        <f>IF(AND(B187="",D187=""),"",IF(B187="","Falta a data",IF(IFERROR(YEAR(B187),0)&lt;&gt;2026,"Use uma data de 2026",IF(D187="","Falta o valor",IF(NOT(ISNUMBER(D187)),"O valor precisa ser um número",IF(F187="","Falta a cotação deste mês (aba Cotações)",""))))))</f>
        <v/>
      </c>
    </row>
    <row r="188" spans="2:8">
      <c r="B188" s="20"/>
      <c r="C188" s="21"/>
      <c r="D188" s="22"/>
      <c r="E188" s="23">
        <f>IFERROR(IF(B188="","",IF(YEAR(B188)&lt;&gt;2026,"",MONTH(B188))),"")</f>
        <v/>
      </c>
      <c r="F188" s="24">
        <f>IF(E188="","",IF(INDEX('Cotações'!$E$6:$E$17,E188)="","",INDEX('Cotações'!$E$6:$E$17,E188)))</f>
        <v/>
      </c>
      <c r="G188" s="25">
        <f>IF(OR(F188="",NOT(ISNUMBER(D188))),"",ROUND(D188*F188,2))</f>
        <v/>
      </c>
      <c r="H188" s="26">
        <f>IF(AND(B188="",D188=""),"",IF(B188="","Falta a data",IF(IFERROR(YEAR(B188),0)&lt;&gt;2026,"Use uma data de 2026",IF(D188="","Falta o valor",IF(NOT(ISNUMBER(D188)),"O valor precisa ser um número",IF(F188="","Falta a cotação deste mês (aba Cotações)",""))))))</f>
        <v/>
      </c>
    </row>
    <row r="189" spans="2:8">
      <c r="B189" s="20"/>
      <c r="C189" s="21"/>
      <c r="D189" s="22"/>
      <c r="E189" s="23">
        <f>IFERROR(IF(B189="","",IF(YEAR(B189)&lt;&gt;2026,"",MONTH(B189))),"")</f>
        <v/>
      </c>
      <c r="F189" s="24">
        <f>IF(E189="","",IF(INDEX('Cotações'!$E$6:$E$17,E189)="","",INDEX('Cotações'!$E$6:$E$17,E189)))</f>
        <v/>
      </c>
      <c r="G189" s="25">
        <f>IF(OR(F189="",NOT(ISNUMBER(D189))),"",ROUND(D189*F189,2))</f>
        <v/>
      </c>
      <c r="H189" s="26">
        <f>IF(AND(B189="",D189=""),"",IF(B189="","Falta a data",IF(IFERROR(YEAR(B189),0)&lt;&gt;2026,"Use uma data de 2026",IF(D189="","Falta o valor",IF(NOT(ISNUMBER(D189)),"O valor precisa ser um número",IF(F189="","Falta a cotação deste mês (aba Cotações)",""))))))</f>
        <v/>
      </c>
    </row>
    <row r="190" spans="2:8">
      <c r="B190" s="20"/>
      <c r="C190" s="21"/>
      <c r="D190" s="22"/>
      <c r="E190" s="23">
        <f>IFERROR(IF(B190="","",IF(YEAR(B190)&lt;&gt;2026,"",MONTH(B190))),"")</f>
        <v/>
      </c>
      <c r="F190" s="24">
        <f>IF(E190="","",IF(INDEX('Cotações'!$E$6:$E$17,E190)="","",INDEX('Cotações'!$E$6:$E$17,E190)))</f>
        <v/>
      </c>
      <c r="G190" s="25">
        <f>IF(OR(F190="",NOT(ISNUMBER(D190))),"",ROUND(D190*F190,2))</f>
        <v/>
      </c>
      <c r="H190" s="26">
        <f>IF(AND(B190="",D190=""),"",IF(B190="","Falta a data",IF(IFERROR(YEAR(B190),0)&lt;&gt;2026,"Use uma data de 2026",IF(D190="","Falta o valor",IF(NOT(ISNUMBER(D190)),"O valor precisa ser um número",IF(F190="","Falta a cotação deste mês (aba Cotações)",""))))))</f>
        <v/>
      </c>
    </row>
    <row r="191" spans="2:8">
      <c r="B191" s="20"/>
      <c r="C191" s="21"/>
      <c r="D191" s="22"/>
      <c r="E191" s="23">
        <f>IFERROR(IF(B191="","",IF(YEAR(B191)&lt;&gt;2026,"",MONTH(B191))),"")</f>
        <v/>
      </c>
      <c r="F191" s="24">
        <f>IF(E191="","",IF(INDEX('Cotações'!$E$6:$E$17,E191)="","",INDEX('Cotações'!$E$6:$E$17,E191)))</f>
        <v/>
      </c>
      <c r="G191" s="25">
        <f>IF(OR(F191="",NOT(ISNUMBER(D191))),"",ROUND(D191*F191,2))</f>
        <v/>
      </c>
      <c r="H191" s="26">
        <f>IF(AND(B191="",D191=""),"",IF(B191="","Falta a data",IF(IFERROR(YEAR(B191),0)&lt;&gt;2026,"Use uma data de 2026",IF(D191="","Falta o valor",IF(NOT(ISNUMBER(D191)),"O valor precisa ser um número",IF(F191="","Falta a cotação deste mês (aba Cotações)",""))))))</f>
        <v/>
      </c>
    </row>
    <row r="192" spans="2:8">
      <c r="B192" s="20"/>
      <c r="C192" s="21"/>
      <c r="D192" s="22"/>
      <c r="E192" s="23">
        <f>IFERROR(IF(B192="","",IF(YEAR(B192)&lt;&gt;2026,"",MONTH(B192))),"")</f>
        <v/>
      </c>
      <c r="F192" s="24">
        <f>IF(E192="","",IF(INDEX('Cotações'!$E$6:$E$17,E192)="","",INDEX('Cotações'!$E$6:$E$17,E192)))</f>
        <v/>
      </c>
      <c r="G192" s="25">
        <f>IF(OR(F192="",NOT(ISNUMBER(D192))),"",ROUND(D192*F192,2))</f>
        <v/>
      </c>
      <c r="H192" s="26">
        <f>IF(AND(B192="",D192=""),"",IF(B192="","Falta a data",IF(IFERROR(YEAR(B192),0)&lt;&gt;2026,"Use uma data de 2026",IF(D192="","Falta o valor",IF(NOT(ISNUMBER(D192)),"O valor precisa ser um número",IF(F192="","Falta a cotação deste mês (aba Cotações)",""))))))</f>
        <v/>
      </c>
    </row>
    <row r="193" spans="2:8">
      <c r="B193" s="20"/>
      <c r="C193" s="21"/>
      <c r="D193" s="22"/>
      <c r="E193" s="23">
        <f>IFERROR(IF(B193="","",IF(YEAR(B193)&lt;&gt;2026,"",MONTH(B193))),"")</f>
        <v/>
      </c>
      <c r="F193" s="24">
        <f>IF(E193="","",IF(INDEX('Cotações'!$E$6:$E$17,E193)="","",INDEX('Cotações'!$E$6:$E$17,E193)))</f>
        <v/>
      </c>
      <c r="G193" s="25">
        <f>IF(OR(F193="",NOT(ISNUMBER(D193))),"",ROUND(D193*F193,2))</f>
        <v/>
      </c>
      <c r="H193" s="26">
        <f>IF(AND(B193="",D193=""),"",IF(B193="","Falta a data",IF(IFERROR(YEAR(B193),0)&lt;&gt;2026,"Use uma data de 2026",IF(D193="","Falta o valor",IF(NOT(ISNUMBER(D193)),"O valor precisa ser um número",IF(F193="","Falta a cotação deste mês (aba Cotações)",""))))))</f>
        <v/>
      </c>
    </row>
    <row r="194" spans="2:8">
      <c r="B194" s="20"/>
      <c r="C194" s="21"/>
      <c r="D194" s="22"/>
      <c r="E194" s="23">
        <f>IFERROR(IF(B194="","",IF(YEAR(B194)&lt;&gt;2026,"",MONTH(B194))),"")</f>
        <v/>
      </c>
      <c r="F194" s="24">
        <f>IF(E194="","",IF(INDEX('Cotações'!$E$6:$E$17,E194)="","",INDEX('Cotações'!$E$6:$E$17,E194)))</f>
        <v/>
      </c>
      <c r="G194" s="25">
        <f>IF(OR(F194="",NOT(ISNUMBER(D194))),"",ROUND(D194*F194,2))</f>
        <v/>
      </c>
      <c r="H194" s="26">
        <f>IF(AND(B194="",D194=""),"",IF(B194="","Falta a data",IF(IFERROR(YEAR(B194),0)&lt;&gt;2026,"Use uma data de 2026",IF(D194="","Falta o valor",IF(NOT(ISNUMBER(D194)),"O valor precisa ser um número",IF(F194="","Falta a cotação deste mês (aba Cotações)",""))))))</f>
        <v/>
      </c>
    </row>
    <row r="195" spans="2:8">
      <c r="B195" s="20"/>
      <c r="C195" s="21"/>
      <c r="D195" s="22"/>
      <c r="E195" s="23">
        <f>IFERROR(IF(B195="","",IF(YEAR(B195)&lt;&gt;2026,"",MONTH(B195))),"")</f>
        <v/>
      </c>
      <c r="F195" s="24">
        <f>IF(E195="","",IF(INDEX('Cotações'!$E$6:$E$17,E195)="","",INDEX('Cotações'!$E$6:$E$17,E195)))</f>
        <v/>
      </c>
      <c r="G195" s="25">
        <f>IF(OR(F195="",NOT(ISNUMBER(D195))),"",ROUND(D195*F195,2))</f>
        <v/>
      </c>
      <c r="H195" s="26">
        <f>IF(AND(B195="",D195=""),"",IF(B195="","Falta a data",IF(IFERROR(YEAR(B195),0)&lt;&gt;2026,"Use uma data de 2026",IF(D195="","Falta o valor",IF(NOT(ISNUMBER(D195)),"O valor precisa ser um número",IF(F195="","Falta a cotação deste mês (aba Cotações)",""))))))</f>
        <v/>
      </c>
    </row>
    <row r="196" spans="2:8">
      <c r="B196" s="20"/>
      <c r="C196" s="21"/>
      <c r="D196" s="22"/>
      <c r="E196" s="23">
        <f>IFERROR(IF(B196="","",IF(YEAR(B196)&lt;&gt;2026,"",MONTH(B196))),"")</f>
        <v/>
      </c>
      <c r="F196" s="24">
        <f>IF(E196="","",IF(INDEX('Cotações'!$E$6:$E$17,E196)="","",INDEX('Cotações'!$E$6:$E$17,E196)))</f>
        <v/>
      </c>
      <c r="G196" s="25">
        <f>IF(OR(F196="",NOT(ISNUMBER(D196))),"",ROUND(D196*F196,2))</f>
        <v/>
      </c>
      <c r="H196" s="26">
        <f>IF(AND(B196="",D196=""),"",IF(B196="","Falta a data",IF(IFERROR(YEAR(B196),0)&lt;&gt;2026,"Use uma data de 2026",IF(D196="","Falta o valor",IF(NOT(ISNUMBER(D196)),"O valor precisa ser um número",IF(F196="","Falta a cotação deste mês (aba Cotações)",""))))))</f>
        <v/>
      </c>
    </row>
    <row r="197" spans="2:8">
      <c r="B197" s="20"/>
      <c r="C197" s="21"/>
      <c r="D197" s="22"/>
      <c r="E197" s="23">
        <f>IFERROR(IF(B197="","",IF(YEAR(B197)&lt;&gt;2026,"",MONTH(B197))),"")</f>
        <v/>
      </c>
      <c r="F197" s="24">
        <f>IF(E197="","",IF(INDEX('Cotações'!$E$6:$E$17,E197)="","",INDEX('Cotações'!$E$6:$E$17,E197)))</f>
        <v/>
      </c>
      <c r="G197" s="25">
        <f>IF(OR(F197="",NOT(ISNUMBER(D197))),"",ROUND(D197*F197,2))</f>
        <v/>
      </c>
      <c r="H197" s="26">
        <f>IF(AND(B197="",D197=""),"",IF(B197="","Falta a data",IF(IFERROR(YEAR(B197),0)&lt;&gt;2026,"Use uma data de 2026",IF(D197="","Falta o valor",IF(NOT(ISNUMBER(D197)),"O valor precisa ser um número",IF(F197="","Falta a cotação deste mês (aba Cotações)",""))))))</f>
        <v/>
      </c>
    </row>
    <row r="198" spans="2:8">
      <c r="B198" s="20"/>
      <c r="C198" s="21"/>
      <c r="D198" s="22"/>
      <c r="E198" s="23">
        <f>IFERROR(IF(B198="","",IF(YEAR(B198)&lt;&gt;2026,"",MONTH(B198))),"")</f>
        <v/>
      </c>
      <c r="F198" s="24">
        <f>IF(E198="","",IF(INDEX('Cotações'!$E$6:$E$17,E198)="","",INDEX('Cotações'!$E$6:$E$17,E198)))</f>
        <v/>
      </c>
      <c r="G198" s="25">
        <f>IF(OR(F198="",NOT(ISNUMBER(D198))),"",ROUND(D198*F198,2))</f>
        <v/>
      </c>
      <c r="H198" s="26">
        <f>IF(AND(B198="",D198=""),"",IF(B198="","Falta a data",IF(IFERROR(YEAR(B198),0)&lt;&gt;2026,"Use uma data de 2026",IF(D198="","Falta o valor",IF(NOT(ISNUMBER(D198)),"O valor precisa ser um número",IF(F198="","Falta a cotação deste mês (aba Cotações)",""))))))</f>
        <v/>
      </c>
    </row>
    <row r="199" spans="2:8">
      <c r="B199" s="20"/>
      <c r="C199" s="21"/>
      <c r="D199" s="22"/>
      <c r="E199" s="23">
        <f>IFERROR(IF(B199="","",IF(YEAR(B199)&lt;&gt;2026,"",MONTH(B199))),"")</f>
        <v/>
      </c>
      <c r="F199" s="24">
        <f>IF(E199="","",IF(INDEX('Cotações'!$E$6:$E$17,E199)="","",INDEX('Cotações'!$E$6:$E$17,E199)))</f>
        <v/>
      </c>
      <c r="G199" s="25">
        <f>IF(OR(F199="",NOT(ISNUMBER(D199))),"",ROUND(D199*F199,2))</f>
        <v/>
      </c>
      <c r="H199" s="26">
        <f>IF(AND(B199="",D199=""),"",IF(B199="","Falta a data",IF(IFERROR(YEAR(B199),0)&lt;&gt;2026,"Use uma data de 2026",IF(D199="","Falta o valor",IF(NOT(ISNUMBER(D199)),"O valor precisa ser um número",IF(F199="","Falta a cotação deste mês (aba Cotações)",""))))))</f>
        <v/>
      </c>
    </row>
    <row r="200" spans="2:8">
      <c r="B200" s="20"/>
      <c r="C200" s="21"/>
      <c r="D200" s="22"/>
      <c r="E200" s="23">
        <f>IFERROR(IF(B200="","",IF(YEAR(B200)&lt;&gt;2026,"",MONTH(B200))),"")</f>
        <v/>
      </c>
      <c r="F200" s="24">
        <f>IF(E200="","",IF(INDEX('Cotações'!$E$6:$E$17,E200)="","",INDEX('Cotações'!$E$6:$E$17,E200)))</f>
        <v/>
      </c>
      <c r="G200" s="25">
        <f>IF(OR(F200="",NOT(ISNUMBER(D200))),"",ROUND(D200*F200,2))</f>
        <v/>
      </c>
      <c r="H200" s="26">
        <f>IF(AND(B200="",D200=""),"",IF(B200="","Falta a data",IF(IFERROR(YEAR(B200),0)&lt;&gt;2026,"Use uma data de 2026",IF(D200="","Falta o valor",IF(NOT(ISNUMBER(D200)),"O valor precisa ser um número",IF(F200="","Falta a cotação deste mês (aba Cotações)",""))))))</f>
        <v/>
      </c>
    </row>
    <row r="201" spans="2:8">
      <c r="B201" s="20"/>
      <c r="C201" s="21"/>
      <c r="D201" s="22"/>
      <c r="E201" s="23">
        <f>IFERROR(IF(B201="","",IF(YEAR(B201)&lt;&gt;2026,"",MONTH(B201))),"")</f>
        <v/>
      </c>
      <c r="F201" s="24">
        <f>IF(E201="","",IF(INDEX('Cotações'!$E$6:$E$17,E201)="","",INDEX('Cotações'!$E$6:$E$17,E201)))</f>
        <v/>
      </c>
      <c r="G201" s="25">
        <f>IF(OR(F201="",NOT(ISNUMBER(D201))),"",ROUND(D201*F201,2))</f>
        <v/>
      </c>
      <c r="H201" s="26">
        <f>IF(AND(B201="",D201=""),"",IF(B201="","Falta a data",IF(IFERROR(YEAR(B201),0)&lt;&gt;2026,"Use uma data de 2026",IF(D201="","Falta o valor",IF(NOT(ISNUMBER(D201)),"O valor precisa ser um número",IF(F201="","Falta a cotação deste mês (aba Cotações)",""))))))</f>
        <v/>
      </c>
    </row>
    <row r="202" spans="2:8">
      <c r="B202" s="20"/>
      <c r="C202" s="21"/>
      <c r="D202" s="22"/>
      <c r="E202" s="23">
        <f>IFERROR(IF(B202="","",IF(YEAR(B202)&lt;&gt;2026,"",MONTH(B202))),"")</f>
        <v/>
      </c>
      <c r="F202" s="24">
        <f>IF(E202="","",IF(INDEX('Cotações'!$E$6:$E$17,E202)="","",INDEX('Cotações'!$E$6:$E$17,E202)))</f>
        <v/>
      </c>
      <c r="G202" s="25">
        <f>IF(OR(F202="",NOT(ISNUMBER(D202))),"",ROUND(D202*F202,2))</f>
        <v/>
      </c>
      <c r="H202" s="26">
        <f>IF(AND(B202="",D202=""),"",IF(B202="","Falta a data",IF(IFERROR(YEAR(B202),0)&lt;&gt;2026,"Use uma data de 2026",IF(D202="","Falta o valor",IF(NOT(ISNUMBER(D202)),"O valor precisa ser um número",IF(F202="","Falta a cotação deste mês (aba Cotações)",""))))))</f>
        <v/>
      </c>
    </row>
    <row r="203" spans="2:8">
      <c r="B203" s="20"/>
      <c r="C203" s="21"/>
      <c r="D203" s="22"/>
      <c r="E203" s="23">
        <f>IFERROR(IF(B203="","",IF(YEAR(B203)&lt;&gt;2026,"",MONTH(B203))),"")</f>
        <v/>
      </c>
      <c r="F203" s="24">
        <f>IF(E203="","",IF(INDEX('Cotações'!$E$6:$E$17,E203)="","",INDEX('Cotações'!$E$6:$E$17,E203)))</f>
        <v/>
      </c>
      <c r="G203" s="25">
        <f>IF(OR(F203="",NOT(ISNUMBER(D203))),"",ROUND(D203*F203,2))</f>
        <v/>
      </c>
      <c r="H203" s="26">
        <f>IF(AND(B203="",D203=""),"",IF(B203="","Falta a data",IF(IFERROR(YEAR(B203),0)&lt;&gt;2026,"Use uma data de 2026",IF(D203="","Falta o valor",IF(NOT(ISNUMBER(D203)),"O valor precisa ser um número",IF(F203="","Falta a cotação deste mês (aba Cotações)",""))))))</f>
        <v/>
      </c>
    </row>
    <row r="204" spans="2:8">
      <c r="B204" s="20"/>
      <c r="C204" s="21"/>
      <c r="D204" s="22"/>
      <c r="E204" s="23">
        <f>IFERROR(IF(B204="","",IF(YEAR(B204)&lt;&gt;2026,"",MONTH(B204))),"")</f>
        <v/>
      </c>
      <c r="F204" s="24">
        <f>IF(E204="","",IF(INDEX('Cotações'!$E$6:$E$17,E204)="","",INDEX('Cotações'!$E$6:$E$17,E204)))</f>
        <v/>
      </c>
      <c r="G204" s="25">
        <f>IF(OR(F204="",NOT(ISNUMBER(D204))),"",ROUND(D204*F204,2))</f>
        <v/>
      </c>
      <c r="H204" s="26">
        <f>IF(AND(B204="",D204=""),"",IF(B204="","Falta a data",IF(IFERROR(YEAR(B204),0)&lt;&gt;2026,"Use uma data de 2026",IF(D204="","Falta o valor",IF(NOT(ISNUMBER(D204)),"O valor precisa ser um número",IF(F204="","Falta a cotação deste mês (aba Cotações)",""))))))</f>
        <v/>
      </c>
    </row>
    <row r="205" spans="2:8">
      <c r="B205" s="20"/>
      <c r="C205" s="21"/>
      <c r="D205" s="22"/>
      <c r="E205" s="23">
        <f>IFERROR(IF(B205="","",IF(YEAR(B205)&lt;&gt;2026,"",MONTH(B205))),"")</f>
        <v/>
      </c>
      <c r="F205" s="24">
        <f>IF(E205="","",IF(INDEX('Cotações'!$E$6:$E$17,E205)="","",INDEX('Cotações'!$E$6:$E$17,E205)))</f>
        <v/>
      </c>
      <c r="G205" s="25">
        <f>IF(OR(F205="",NOT(ISNUMBER(D205))),"",ROUND(D205*F205,2))</f>
        <v/>
      </c>
      <c r="H205" s="26">
        <f>IF(AND(B205="",D205=""),"",IF(B205="","Falta a data",IF(IFERROR(YEAR(B205),0)&lt;&gt;2026,"Use uma data de 2026",IF(D205="","Falta o valor",IF(NOT(ISNUMBER(D205)),"O valor precisa ser um número",IF(F205="","Falta a cotação deste mês (aba Cotações)",""))))))</f>
        <v/>
      </c>
    </row>
    <row r="206" spans="2:8">
      <c r="B206" s="20"/>
      <c r="C206" s="21"/>
      <c r="D206" s="22"/>
      <c r="E206" s="23">
        <f>IFERROR(IF(B206="","",IF(YEAR(B206)&lt;&gt;2026,"",MONTH(B206))),"")</f>
        <v/>
      </c>
      <c r="F206" s="24">
        <f>IF(E206="","",IF(INDEX('Cotações'!$E$6:$E$17,E206)="","",INDEX('Cotações'!$E$6:$E$17,E206)))</f>
        <v/>
      </c>
      <c r="G206" s="25">
        <f>IF(OR(F206="",NOT(ISNUMBER(D206))),"",ROUND(D206*F206,2))</f>
        <v/>
      </c>
      <c r="H206" s="26">
        <f>IF(AND(B206="",D206=""),"",IF(B206="","Falta a data",IF(IFERROR(YEAR(B206),0)&lt;&gt;2026,"Use uma data de 2026",IF(D206="","Falta o valor",IF(NOT(ISNUMBER(D206)),"O valor precisa ser um número",IF(F206="","Falta a cotação deste mês (aba Cotações)",""))))))</f>
        <v/>
      </c>
    </row>
    <row r="207" spans="2:8">
      <c r="B207" s="20"/>
      <c r="C207" s="21"/>
      <c r="D207" s="22"/>
      <c r="E207" s="23">
        <f>IFERROR(IF(B207="","",IF(YEAR(B207)&lt;&gt;2026,"",MONTH(B207))),"")</f>
        <v/>
      </c>
      <c r="F207" s="24">
        <f>IF(E207="","",IF(INDEX('Cotações'!$E$6:$E$17,E207)="","",INDEX('Cotações'!$E$6:$E$17,E207)))</f>
        <v/>
      </c>
      <c r="G207" s="25">
        <f>IF(OR(F207="",NOT(ISNUMBER(D207))),"",ROUND(D207*F207,2))</f>
        <v/>
      </c>
      <c r="H207" s="26">
        <f>IF(AND(B207="",D207=""),"",IF(B207="","Falta a data",IF(IFERROR(YEAR(B207),0)&lt;&gt;2026,"Use uma data de 2026",IF(D207="","Falta o valor",IF(NOT(ISNUMBER(D207)),"O valor precisa ser um número",IF(F207="","Falta a cotação deste mês (aba Cotações)",""))))))</f>
        <v/>
      </c>
    </row>
    <row r="208" spans="2:8">
      <c r="B208" s="20"/>
      <c r="C208" s="21"/>
      <c r="D208" s="22"/>
      <c r="E208" s="23">
        <f>IFERROR(IF(B208="","",IF(YEAR(B208)&lt;&gt;2026,"",MONTH(B208))),"")</f>
        <v/>
      </c>
      <c r="F208" s="24">
        <f>IF(E208="","",IF(INDEX('Cotações'!$E$6:$E$17,E208)="","",INDEX('Cotações'!$E$6:$E$17,E208)))</f>
        <v/>
      </c>
      <c r="G208" s="25">
        <f>IF(OR(F208="",NOT(ISNUMBER(D208))),"",ROUND(D208*F208,2))</f>
        <v/>
      </c>
      <c r="H208" s="26">
        <f>IF(AND(B208="",D208=""),"",IF(B208="","Falta a data",IF(IFERROR(YEAR(B208),0)&lt;&gt;2026,"Use uma data de 2026",IF(D208="","Falta o valor",IF(NOT(ISNUMBER(D208)),"O valor precisa ser um número",IF(F208="","Falta a cotação deste mês (aba Cotações)",""))))))</f>
        <v/>
      </c>
    </row>
    <row r="209" spans="2:8">
      <c r="B209" s="20"/>
      <c r="C209" s="21"/>
      <c r="D209" s="22"/>
      <c r="E209" s="23">
        <f>IFERROR(IF(B209="","",IF(YEAR(B209)&lt;&gt;2026,"",MONTH(B209))),"")</f>
        <v/>
      </c>
      <c r="F209" s="24">
        <f>IF(E209="","",IF(INDEX('Cotações'!$E$6:$E$17,E209)="","",INDEX('Cotações'!$E$6:$E$17,E209)))</f>
        <v/>
      </c>
      <c r="G209" s="25">
        <f>IF(OR(F209="",NOT(ISNUMBER(D209))),"",ROUND(D209*F209,2))</f>
        <v/>
      </c>
      <c r="H209" s="26">
        <f>IF(AND(B209="",D209=""),"",IF(B209="","Falta a data",IF(IFERROR(YEAR(B209),0)&lt;&gt;2026,"Use uma data de 2026",IF(D209="","Falta o valor",IF(NOT(ISNUMBER(D209)),"O valor precisa ser um número",IF(F209="","Falta a cotação deste mês (aba Cotações)",""))))))</f>
        <v/>
      </c>
    </row>
    <row r="210" spans="2:8">
      <c r="B210" s="20"/>
      <c r="C210" s="21"/>
      <c r="D210" s="22"/>
      <c r="E210" s="23">
        <f>IFERROR(IF(B210="","",IF(YEAR(B210)&lt;&gt;2026,"",MONTH(B210))),"")</f>
        <v/>
      </c>
      <c r="F210" s="24">
        <f>IF(E210="","",IF(INDEX('Cotações'!$E$6:$E$17,E210)="","",INDEX('Cotações'!$E$6:$E$17,E210)))</f>
        <v/>
      </c>
      <c r="G210" s="25">
        <f>IF(OR(F210="",NOT(ISNUMBER(D210))),"",ROUND(D210*F210,2))</f>
        <v/>
      </c>
      <c r="H210" s="26">
        <f>IF(AND(B210="",D210=""),"",IF(B210="","Falta a data",IF(IFERROR(YEAR(B210),0)&lt;&gt;2026,"Use uma data de 2026",IF(D210="","Falta o valor",IF(NOT(ISNUMBER(D210)),"O valor precisa ser um número",IF(F210="","Falta a cotação deste mês (aba Cotações)",""))))))</f>
        <v/>
      </c>
    </row>
    <row r="211" spans="2:8">
      <c r="B211" s="20"/>
      <c r="C211" s="21"/>
      <c r="D211" s="22"/>
      <c r="E211" s="23">
        <f>IFERROR(IF(B211="","",IF(YEAR(B211)&lt;&gt;2026,"",MONTH(B211))),"")</f>
        <v/>
      </c>
      <c r="F211" s="24">
        <f>IF(E211="","",IF(INDEX('Cotações'!$E$6:$E$17,E211)="","",INDEX('Cotações'!$E$6:$E$17,E211)))</f>
        <v/>
      </c>
      <c r="G211" s="25">
        <f>IF(OR(F211="",NOT(ISNUMBER(D211))),"",ROUND(D211*F211,2))</f>
        <v/>
      </c>
      <c r="H211" s="26">
        <f>IF(AND(B211="",D211=""),"",IF(B211="","Falta a data",IF(IFERROR(YEAR(B211),0)&lt;&gt;2026,"Use uma data de 2026",IF(D211="","Falta o valor",IF(NOT(ISNUMBER(D211)),"O valor precisa ser um número",IF(F211="","Falta a cotação deste mês (aba Cotações)",""))))))</f>
        <v/>
      </c>
    </row>
    <row r="212" spans="2:8">
      <c r="B212" s="20"/>
      <c r="C212" s="21"/>
      <c r="D212" s="22"/>
      <c r="E212" s="23">
        <f>IFERROR(IF(B212="","",IF(YEAR(B212)&lt;&gt;2026,"",MONTH(B212))),"")</f>
        <v/>
      </c>
      <c r="F212" s="24">
        <f>IF(E212="","",IF(INDEX('Cotações'!$E$6:$E$17,E212)="","",INDEX('Cotações'!$E$6:$E$17,E212)))</f>
        <v/>
      </c>
      <c r="G212" s="25">
        <f>IF(OR(F212="",NOT(ISNUMBER(D212))),"",ROUND(D212*F212,2))</f>
        <v/>
      </c>
      <c r="H212" s="26">
        <f>IF(AND(B212="",D212=""),"",IF(B212="","Falta a data",IF(IFERROR(YEAR(B212),0)&lt;&gt;2026,"Use uma data de 2026",IF(D212="","Falta o valor",IF(NOT(ISNUMBER(D212)),"O valor precisa ser um número",IF(F212="","Falta a cotação deste mês (aba Cotações)",""))))))</f>
        <v/>
      </c>
    </row>
    <row r="213" spans="2:8">
      <c r="B213" s="20"/>
      <c r="C213" s="21"/>
      <c r="D213" s="22"/>
      <c r="E213" s="23">
        <f>IFERROR(IF(B213="","",IF(YEAR(B213)&lt;&gt;2026,"",MONTH(B213))),"")</f>
        <v/>
      </c>
      <c r="F213" s="24">
        <f>IF(E213="","",IF(INDEX('Cotações'!$E$6:$E$17,E213)="","",INDEX('Cotações'!$E$6:$E$17,E213)))</f>
        <v/>
      </c>
      <c r="G213" s="25">
        <f>IF(OR(F213="",NOT(ISNUMBER(D213))),"",ROUND(D213*F213,2))</f>
        <v/>
      </c>
      <c r="H213" s="26">
        <f>IF(AND(B213="",D213=""),"",IF(B213="","Falta a data",IF(IFERROR(YEAR(B213),0)&lt;&gt;2026,"Use uma data de 2026",IF(D213="","Falta o valor",IF(NOT(ISNUMBER(D213)),"O valor precisa ser um número",IF(F213="","Falta a cotação deste mês (aba Cotações)",""))))))</f>
        <v/>
      </c>
    </row>
    <row r="214" spans="2:8">
      <c r="B214" s="20"/>
      <c r="C214" s="21"/>
      <c r="D214" s="22"/>
      <c r="E214" s="23">
        <f>IFERROR(IF(B214="","",IF(YEAR(B214)&lt;&gt;2026,"",MONTH(B214))),"")</f>
        <v/>
      </c>
      <c r="F214" s="24">
        <f>IF(E214="","",IF(INDEX('Cotações'!$E$6:$E$17,E214)="","",INDEX('Cotações'!$E$6:$E$17,E214)))</f>
        <v/>
      </c>
      <c r="G214" s="25">
        <f>IF(OR(F214="",NOT(ISNUMBER(D214))),"",ROUND(D214*F214,2))</f>
        <v/>
      </c>
      <c r="H214" s="26">
        <f>IF(AND(B214="",D214=""),"",IF(B214="","Falta a data",IF(IFERROR(YEAR(B214),0)&lt;&gt;2026,"Use uma data de 2026",IF(D214="","Falta o valor",IF(NOT(ISNUMBER(D214)),"O valor precisa ser um número",IF(F214="","Falta a cotação deste mês (aba Cotações)",""))))))</f>
        <v/>
      </c>
    </row>
    <row r="215" spans="2:8">
      <c r="B215" s="20"/>
      <c r="C215" s="21"/>
      <c r="D215" s="22"/>
      <c r="E215" s="23">
        <f>IFERROR(IF(B215="","",IF(YEAR(B215)&lt;&gt;2026,"",MONTH(B215))),"")</f>
        <v/>
      </c>
      <c r="F215" s="24">
        <f>IF(E215="","",IF(INDEX('Cotações'!$E$6:$E$17,E215)="","",INDEX('Cotações'!$E$6:$E$17,E215)))</f>
        <v/>
      </c>
      <c r="G215" s="25">
        <f>IF(OR(F215="",NOT(ISNUMBER(D215))),"",ROUND(D215*F215,2))</f>
        <v/>
      </c>
      <c r="H215" s="26">
        <f>IF(AND(B215="",D215=""),"",IF(B215="","Falta a data",IF(IFERROR(YEAR(B215),0)&lt;&gt;2026,"Use uma data de 2026",IF(D215="","Falta o valor",IF(NOT(ISNUMBER(D215)),"O valor precisa ser um número",IF(F215="","Falta a cotação deste mês (aba Cotações)",""))))))</f>
        <v/>
      </c>
    </row>
    <row r="216" spans="2:8">
      <c r="B216" s="20"/>
      <c r="C216" s="21"/>
      <c r="D216" s="22"/>
      <c r="E216" s="23">
        <f>IFERROR(IF(B216="","",IF(YEAR(B216)&lt;&gt;2026,"",MONTH(B216))),"")</f>
        <v/>
      </c>
      <c r="F216" s="24">
        <f>IF(E216="","",IF(INDEX('Cotações'!$E$6:$E$17,E216)="","",INDEX('Cotações'!$E$6:$E$17,E216)))</f>
        <v/>
      </c>
      <c r="G216" s="25">
        <f>IF(OR(F216="",NOT(ISNUMBER(D216))),"",ROUND(D216*F216,2))</f>
        <v/>
      </c>
      <c r="H216" s="26">
        <f>IF(AND(B216="",D216=""),"",IF(B216="","Falta a data",IF(IFERROR(YEAR(B216),0)&lt;&gt;2026,"Use uma data de 2026",IF(D216="","Falta o valor",IF(NOT(ISNUMBER(D216)),"O valor precisa ser um número",IF(F216="","Falta a cotação deste mês (aba Cotações)",""))))))</f>
        <v/>
      </c>
    </row>
    <row r="217" spans="2:8">
      <c r="B217" s="20"/>
      <c r="C217" s="21"/>
      <c r="D217" s="22"/>
      <c r="E217" s="23">
        <f>IFERROR(IF(B217="","",IF(YEAR(B217)&lt;&gt;2026,"",MONTH(B217))),"")</f>
        <v/>
      </c>
      <c r="F217" s="24">
        <f>IF(E217="","",IF(INDEX('Cotações'!$E$6:$E$17,E217)="","",INDEX('Cotações'!$E$6:$E$17,E217)))</f>
        <v/>
      </c>
      <c r="G217" s="25">
        <f>IF(OR(F217="",NOT(ISNUMBER(D217))),"",ROUND(D217*F217,2))</f>
        <v/>
      </c>
      <c r="H217" s="26">
        <f>IF(AND(B217="",D217=""),"",IF(B217="","Falta a data",IF(IFERROR(YEAR(B217),0)&lt;&gt;2026,"Use uma data de 2026",IF(D217="","Falta o valor",IF(NOT(ISNUMBER(D217)),"O valor precisa ser um número",IF(F217="","Falta a cotação deste mês (aba Cotações)",""))))))</f>
        <v/>
      </c>
    </row>
    <row r="218" spans="2:8">
      <c r="B218" s="20"/>
      <c r="C218" s="21"/>
      <c r="D218" s="22"/>
      <c r="E218" s="23">
        <f>IFERROR(IF(B218="","",IF(YEAR(B218)&lt;&gt;2026,"",MONTH(B218))),"")</f>
        <v/>
      </c>
      <c r="F218" s="24">
        <f>IF(E218="","",IF(INDEX('Cotações'!$E$6:$E$17,E218)="","",INDEX('Cotações'!$E$6:$E$17,E218)))</f>
        <v/>
      </c>
      <c r="G218" s="25">
        <f>IF(OR(F218="",NOT(ISNUMBER(D218))),"",ROUND(D218*F218,2))</f>
        <v/>
      </c>
      <c r="H218" s="26">
        <f>IF(AND(B218="",D218=""),"",IF(B218="","Falta a data",IF(IFERROR(YEAR(B218),0)&lt;&gt;2026,"Use uma data de 2026",IF(D218="","Falta o valor",IF(NOT(ISNUMBER(D218)),"O valor precisa ser um número",IF(F218="","Falta a cotação deste mês (aba Cotações)",""))))))</f>
        <v/>
      </c>
    </row>
    <row r="219" spans="2:8">
      <c r="B219" s="20"/>
      <c r="C219" s="21"/>
      <c r="D219" s="22"/>
      <c r="E219" s="23">
        <f>IFERROR(IF(B219="","",IF(YEAR(B219)&lt;&gt;2026,"",MONTH(B219))),"")</f>
        <v/>
      </c>
      <c r="F219" s="24">
        <f>IF(E219="","",IF(INDEX('Cotações'!$E$6:$E$17,E219)="","",INDEX('Cotações'!$E$6:$E$17,E219)))</f>
        <v/>
      </c>
      <c r="G219" s="25">
        <f>IF(OR(F219="",NOT(ISNUMBER(D219))),"",ROUND(D219*F219,2))</f>
        <v/>
      </c>
      <c r="H219" s="26">
        <f>IF(AND(B219="",D219=""),"",IF(B219="","Falta a data",IF(IFERROR(YEAR(B219),0)&lt;&gt;2026,"Use uma data de 2026",IF(D219="","Falta o valor",IF(NOT(ISNUMBER(D219)),"O valor precisa ser um número",IF(F219="","Falta a cotação deste mês (aba Cotações)",""))))))</f>
        <v/>
      </c>
    </row>
    <row r="220" spans="2:8">
      <c r="B220" s="20"/>
      <c r="C220" s="21"/>
      <c r="D220" s="22"/>
      <c r="E220" s="23">
        <f>IFERROR(IF(B220="","",IF(YEAR(B220)&lt;&gt;2026,"",MONTH(B220))),"")</f>
        <v/>
      </c>
      <c r="F220" s="24">
        <f>IF(E220="","",IF(INDEX('Cotações'!$E$6:$E$17,E220)="","",INDEX('Cotações'!$E$6:$E$17,E220)))</f>
        <v/>
      </c>
      <c r="G220" s="25">
        <f>IF(OR(F220="",NOT(ISNUMBER(D220))),"",ROUND(D220*F220,2))</f>
        <v/>
      </c>
      <c r="H220" s="26">
        <f>IF(AND(B220="",D220=""),"",IF(B220="","Falta a data",IF(IFERROR(YEAR(B220),0)&lt;&gt;2026,"Use uma data de 2026",IF(D220="","Falta o valor",IF(NOT(ISNUMBER(D220)),"O valor precisa ser um número",IF(F220="","Falta a cotação deste mês (aba Cotações)",""))))))</f>
        <v/>
      </c>
    </row>
    <row r="221" spans="2:8">
      <c r="B221" s="20"/>
      <c r="C221" s="21"/>
      <c r="D221" s="22"/>
      <c r="E221" s="23">
        <f>IFERROR(IF(B221="","",IF(YEAR(B221)&lt;&gt;2026,"",MONTH(B221))),"")</f>
        <v/>
      </c>
      <c r="F221" s="24">
        <f>IF(E221="","",IF(INDEX('Cotações'!$E$6:$E$17,E221)="","",INDEX('Cotações'!$E$6:$E$17,E221)))</f>
        <v/>
      </c>
      <c r="G221" s="25">
        <f>IF(OR(F221="",NOT(ISNUMBER(D221))),"",ROUND(D221*F221,2))</f>
        <v/>
      </c>
      <c r="H221" s="26">
        <f>IF(AND(B221="",D221=""),"",IF(B221="","Falta a data",IF(IFERROR(YEAR(B221),0)&lt;&gt;2026,"Use uma data de 2026",IF(D221="","Falta o valor",IF(NOT(ISNUMBER(D221)),"O valor precisa ser um número",IF(F221="","Falta a cotação deste mês (aba Cotações)",""))))))</f>
        <v/>
      </c>
    </row>
    <row r="222" spans="2:8">
      <c r="B222" s="20"/>
      <c r="C222" s="21"/>
      <c r="D222" s="22"/>
      <c r="E222" s="23">
        <f>IFERROR(IF(B222="","",IF(YEAR(B222)&lt;&gt;2026,"",MONTH(B222))),"")</f>
        <v/>
      </c>
      <c r="F222" s="24">
        <f>IF(E222="","",IF(INDEX('Cotações'!$E$6:$E$17,E222)="","",INDEX('Cotações'!$E$6:$E$17,E222)))</f>
        <v/>
      </c>
      <c r="G222" s="25">
        <f>IF(OR(F222="",NOT(ISNUMBER(D222))),"",ROUND(D222*F222,2))</f>
        <v/>
      </c>
      <c r="H222" s="26">
        <f>IF(AND(B222="",D222=""),"",IF(B222="","Falta a data",IF(IFERROR(YEAR(B222),0)&lt;&gt;2026,"Use uma data de 2026",IF(D222="","Falta o valor",IF(NOT(ISNUMBER(D222)),"O valor precisa ser um número",IF(F222="","Falta a cotação deste mês (aba Cotações)",""))))))</f>
        <v/>
      </c>
    </row>
    <row r="223" spans="2:8">
      <c r="B223" s="20"/>
      <c r="C223" s="21"/>
      <c r="D223" s="22"/>
      <c r="E223" s="23">
        <f>IFERROR(IF(B223="","",IF(YEAR(B223)&lt;&gt;2026,"",MONTH(B223))),"")</f>
        <v/>
      </c>
      <c r="F223" s="24">
        <f>IF(E223="","",IF(INDEX('Cotações'!$E$6:$E$17,E223)="","",INDEX('Cotações'!$E$6:$E$17,E223)))</f>
        <v/>
      </c>
      <c r="G223" s="25">
        <f>IF(OR(F223="",NOT(ISNUMBER(D223))),"",ROUND(D223*F223,2))</f>
        <v/>
      </c>
      <c r="H223" s="26">
        <f>IF(AND(B223="",D223=""),"",IF(B223="","Falta a data",IF(IFERROR(YEAR(B223),0)&lt;&gt;2026,"Use uma data de 2026",IF(D223="","Falta o valor",IF(NOT(ISNUMBER(D223)),"O valor precisa ser um número",IF(F223="","Falta a cotação deste mês (aba Cotações)",""))))))</f>
        <v/>
      </c>
    </row>
    <row r="224" spans="2:8">
      <c r="B224" s="20"/>
      <c r="C224" s="21"/>
      <c r="D224" s="22"/>
      <c r="E224" s="23">
        <f>IFERROR(IF(B224="","",IF(YEAR(B224)&lt;&gt;2026,"",MONTH(B224))),"")</f>
        <v/>
      </c>
      <c r="F224" s="24">
        <f>IF(E224="","",IF(INDEX('Cotações'!$E$6:$E$17,E224)="","",INDEX('Cotações'!$E$6:$E$17,E224)))</f>
        <v/>
      </c>
      <c r="G224" s="25">
        <f>IF(OR(F224="",NOT(ISNUMBER(D224))),"",ROUND(D224*F224,2))</f>
        <v/>
      </c>
      <c r="H224" s="26">
        <f>IF(AND(B224="",D224=""),"",IF(B224="","Falta a data",IF(IFERROR(YEAR(B224),0)&lt;&gt;2026,"Use uma data de 2026",IF(D224="","Falta o valor",IF(NOT(ISNUMBER(D224)),"O valor precisa ser um número",IF(F224="","Falta a cotação deste mês (aba Cotações)",""))))))</f>
        <v/>
      </c>
    </row>
    <row r="225" spans="2:8">
      <c r="B225" s="20"/>
      <c r="C225" s="21"/>
      <c r="D225" s="22"/>
      <c r="E225" s="23">
        <f>IFERROR(IF(B225="","",IF(YEAR(B225)&lt;&gt;2026,"",MONTH(B225))),"")</f>
        <v/>
      </c>
      <c r="F225" s="24">
        <f>IF(E225="","",IF(INDEX('Cotações'!$E$6:$E$17,E225)="","",INDEX('Cotações'!$E$6:$E$17,E225)))</f>
        <v/>
      </c>
      <c r="G225" s="25">
        <f>IF(OR(F225="",NOT(ISNUMBER(D225))),"",ROUND(D225*F225,2))</f>
        <v/>
      </c>
      <c r="H225" s="26">
        <f>IF(AND(B225="",D225=""),"",IF(B225="","Falta a data",IF(IFERROR(YEAR(B225),0)&lt;&gt;2026,"Use uma data de 2026",IF(D225="","Falta o valor",IF(NOT(ISNUMBER(D225)),"O valor precisa ser um número",IF(F225="","Falta a cotação deste mês (aba Cotações)",""))))))</f>
        <v/>
      </c>
    </row>
    <row r="226" spans="2:8">
      <c r="B226" s="20"/>
      <c r="C226" s="21"/>
      <c r="D226" s="22"/>
      <c r="E226" s="23">
        <f>IFERROR(IF(B226="","",IF(YEAR(B226)&lt;&gt;2026,"",MONTH(B226))),"")</f>
        <v/>
      </c>
      <c r="F226" s="24">
        <f>IF(E226="","",IF(INDEX('Cotações'!$E$6:$E$17,E226)="","",INDEX('Cotações'!$E$6:$E$17,E226)))</f>
        <v/>
      </c>
      <c r="G226" s="25">
        <f>IF(OR(F226="",NOT(ISNUMBER(D226))),"",ROUND(D226*F226,2))</f>
        <v/>
      </c>
      <c r="H226" s="26">
        <f>IF(AND(B226="",D226=""),"",IF(B226="","Falta a data",IF(IFERROR(YEAR(B226),0)&lt;&gt;2026,"Use uma data de 2026",IF(D226="","Falta o valor",IF(NOT(ISNUMBER(D226)),"O valor precisa ser um número",IF(F226="","Falta a cotação deste mês (aba Cotações)",""))))))</f>
        <v/>
      </c>
    </row>
    <row r="227" spans="2:8">
      <c r="B227" s="20"/>
      <c r="C227" s="21"/>
      <c r="D227" s="22"/>
      <c r="E227" s="23">
        <f>IFERROR(IF(B227="","",IF(YEAR(B227)&lt;&gt;2026,"",MONTH(B227))),"")</f>
        <v/>
      </c>
      <c r="F227" s="24">
        <f>IF(E227="","",IF(INDEX('Cotações'!$E$6:$E$17,E227)="","",INDEX('Cotações'!$E$6:$E$17,E227)))</f>
        <v/>
      </c>
      <c r="G227" s="25">
        <f>IF(OR(F227="",NOT(ISNUMBER(D227))),"",ROUND(D227*F227,2))</f>
        <v/>
      </c>
      <c r="H227" s="26">
        <f>IF(AND(B227="",D227=""),"",IF(B227="","Falta a data",IF(IFERROR(YEAR(B227),0)&lt;&gt;2026,"Use uma data de 2026",IF(D227="","Falta o valor",IF(NOT(ISNUMBER(D227)),"O valor precisa ser um número",IF(F227="","Falta a cotação deste mês (aba Cotações)",""))))))</f>
        <v/>
      </c>
    </row>
    <row r="228" spans="2:8">
      <c r="B228" s="20"/>
      <c r="C228" s="21"/>
      <c r="D228" s="22"/>
      <c r="E228" s="23">
        <f>IFERROR(IF(B228="","",IF(YEAR(B228)&lt;&gt;2026,"",MONTH(B228))),"")</f>
        <v/>
      </c>
      <c r="F228" s="24">
        <f>IF(E228="","",IF(INDEX('Cotações'!$E$6:$E$17,E228)="","",INDEX('Cotações'!$E$6:$E$17,E228)))</f>
        <v/>
      </c>
      <c r="G228" s="25">
        <f>IF(OR(F228="",NOT(ISNUMBER(D228))),"",ROUND(D228*F228,2))</f>
        <v/>
      </c>
      <c r="H228" s="26">
        <f>IF(AND(B228="",D228=""),"",IF(B228="","Falta a data",IF(IFERROR(YEAR(B228),0)&lt;&gt;2026,"Use uma data de 2026",IF(D228="","Falta o valor",IF(NOT(ISNUMBER(D228)),"O valor precisa ser um número",IF(F228="","Falta a cotação deste mês (aba Cotações)",""))))))</f>
        <v/>
      </c>
    </row>
    <row r="229" spans="2:8">
      <c r="B229" s="20"/>
      <c r="C229" s="21"/>
      <c r="D229" s="22"/>
      <c r="E229" s="23">
        <f>IFERROR(IF(B229="","",IF(YEAR(B229)&lt;&gt;2026,"",MONTH(B229))),"")</f>
        <v/>
      </c>
      <c r="F229" s="24">
        <f>IF(E229="","",IF(INDEX('Cotações'!$E$6:$E$17,E229)="","",INDEX('Cotações'!$E$6:$E$17,E229)))</f>
        <v/>
      </c>
      <c r="G229" s="25">
        <f>IF(OR(F229="",NOT(ISNUMBER(D229))),"",ROUND(D229*F229,2))</f>
        <v/>
      </c>
      <c r="H229" s="26">
        <f>IF(AND(B229="",D229=""),"",IF(B229="","Falta a data",IF(IFERROR(YEAR(B229),0)&lt;&gt;2026,"Use uma data de 2026",IF(D229="","Falta o valor",IF(NOT(ISNUMBER(D229)),"O valor precisa ser um número",IF(F229="","Falta a cotação deste mês (aba Cotações)",""))))))</f>
        <v/>
      </c>
    </row>
    <row r="230" spans="2:8">
      <c r="B230" s="20"/>
      <c r="C230" s="21"/>
      <c r="D230" s="22"/>
      <c r="E230" s="23">
        <f>IFERROR(IF(B230="","",IF(YEAR(B230)&lt;&gt;2026,"",MONTH(B230))),"")</f>
        <v/>
      </c>
      <c r="F230" s="24">
        <f>IF(E230="","",IF(INDEX('Cotações'!$E$6:$E$17,E230)="","",INDEX('Cotações'!$E$6:$E$17,E230)))</f>
        <v/>
      </c>
      <c r="G230" s="25">
        <f>IF(OR(F230="",NOT(ISNUMBER(D230))),"",ROUND(D230*F230,2))</f>
        <v/>
      </c>
      <c r="H230" s="26">
        <f>IF(AND(B230="",D230=""),"",IF(B230="","Falta a data",IF(IFERROR(YEAR(B230),0)&lt;&gt;2026,"Use uma data de 2026",IF(D230="","Falta o valor",IF(NOT(ISNUMBER(D230)),"O valor precisa ser um número",IF(F230="","Falta a cotação deste mês (aba Cotações)",""))))))</f>
        <v/>
      </c>
    </row>
    <row r="231" spans="2:8">
      <c r="B231" s="20"/>
      <c r="C231" s="21"/>
      <c r="D231" s="22"/>
      <c r="E231" s="23">
        <f>IFERROR(IF(B231="","",IF(YEAR(B231)&lt;&gt;2026,"",MONTH(B231))),"")</f>
        <v/>
      </c>
      <c r="F231" s="24">
        <f>IF(E231="","",IF(INDEX('Cotações'!$E$6:$E$17,E231)="","",INDEX('Cotações'!$E$6:$E$17,E231)))</f>
        <v/>
      </c>
      <c r="G231" s="25">
        <f>IF(OR(F231="",NOT(ISNUMBER(D231))),"",ROUND(D231*F231,2))</f>
        <v/>
      </c>
      <c r="H231" s="26">
        <f>IF(AND(B231="",D231=""),"",IF(B231="","Falta a data",IF(IFERROR(YEAR(B231),0)&lt;&gt;2026,"Use uma data de 2026",IF(D231="","Falta o valor",IF(NOT(ISNUMBER(D231)),"O valor precisa ser um número",IF(F231="","Falta a cotação deste mês (aba Cotações)",""))))))</f>
        <v/>
      </c>
    </row>
    <row r="232" spans="2:8">
      <c r="B232" s="20"/>
      <c r="C232" s="21"/>
      <c r="D232" s="22"/>
      <c r="E232" s="23">
        <f>IFERROR(IF(B232="","",IF(YEAR(B232)&lt;&gt;2026,"",MONTH(B232))),"")</f>
        <v/>
      </c>
      <c r="F232" s="24">
        <f>IF(E232="","",IF(INDEX('Cotações'!$E$6:$E$17,E232)="","",INDEX('Cotações'!$E$6:$E$17,E232)))</f>
        <v/>
      </c>
      <c r="G232" s="25">
        <f>IF(OR(F232="",NOT(ISNUMBER(D232))),"",ROUND(D232*F232,2))</f>
        <v/>
      </c>
      <c r="H232" s="26">
        <f>IF(AND(B232="",D232=""),"",IF(B232="","Falta a data",IF(IFERROR(YEAR(B232),0)&lt;&gt;2026,"Use uma data de 2026",IF(D232="","Falta o valor",IF(NOT(ISNUMBER(D232)),"O valor precisa ser um número",IF(F232="","Falta a cotação deste mês (aba Cotações)",""))))))</f>
        <v/>
      </c>
    </row>
    <row r="233" spans="2:8">
      <c r="B233" s="20"/>
      <c r="C233" s="21"/>
      <c r="D233" s="22"/>
      <c r="E233" s="23">
        <f>IFERROR(IF(B233="","",IF(YEAR(B233)&lt;&gt;2026,"",MONTH(B233))),"")</f>
        <v/>
      </c>
      <c r="F233" s="24">
        <f>IF(E233="","",IF(INDEX('Cotações'!$E$6:$E$17,E233)="","",INDEX('Cotações'!$E$6:$E$17,E233)))</f>
        <v/>
      </c>
      <c r="G233" s="25">
        <f>IF(OR(F233="",NOT(ISNUMBER(D233))),"",ROUND(D233*F233,2))</f>
        <v/>
      </c>
      <c r="H233" s="26">
        <f>IF(AND(B233="",D233=""),"",IF(B233="","Falta a data",IF(IFERROR(YEAR(B233),0)&lt;&gt;2026,"Use uma data de 2026",IF(D233="","Falta o valor",IF(NOT(ISNUMBER(D233)),"O valor precisa ser um número",IF(F233="","Falta a cotação deste mês (aba Cotações)",""))))))</f>
        <v/>
      </c>
    </row>
    <row r="234" spans="2:8">
      <c r="B234" s="20"/>
      <c r="C234" s="21"/>
      <c r="D234" s="22"/>
      <c r="E234" s="23">
        <f>IFERROR(IF(B234="","",IF(YEAR(B234)&lt;&gt;2026,"",MONTH(B234))),"")</f>
        <v/>
      </c>
      <c r="F234" s="24">
        <f>IF(E234="","",IF(INDEX('Cotações'!$E$6:$E$17,E234)="","",INDEX('Cotações'!$E$6:$E$17,E234)))</f>
        <v/>
      </c>
      <c r="G234" s="25">
        <f>IF(OR(F234="",NOT(ISNUMBER(D234))),"",ROUND(D234*F234,2))</f>
        <v/>
      </c>
      <c r="H234" s="26">
        <f>IF(AND(B234="",D234=""),"",IF(B234="","Falta a data",IF(IFERROR(YEAR(B234),0)&lt;&gt;2026,"Use uma data de 2026",IF(D234="","Falta o valor",IF(NOT(ISNUMBER(D234)),"O valor precisa ser um número",IF(F234="","Falta a cotação deste mês (aba Cotações)",""))))))</f>
        <v/>
      </c>
    </row>
    <row r="235" spans="2:8">
      <c r="B235" s="20"/>
      <c r="C235" s="21"/>
      <c r="D235" s="22"/>
      <c r="E235" s="23">
        <f>IFERROR(IF(B235="","",IF(YEAR(B235)&lt;&gt;2026,"",MONTH(B235))),"")</f>
        <v/>
      </c>
      <c r="F235" s="24">
        <f>IF(E235="","",IF(INDEX('Cotações'!$E$6:$E$17,E235)="","",INDEX('Cotações'!$E$6:$E$17,E235)))</f>
        <v/>
      </c>
      <c r="G235" s="25">
        <f>IF(OR(F235="",NOT(ISNUMBER(D235))),"",ROUND(D235*F235,2))</f>
        <v/>
      </c>
      <c r="H235" s="26">
        <f>IF(AND(B235="",D235=""),"",IF(B235="","Falta a data",IF(IFERROR(YEAR(B235),0)&lt;&gt;2026,"Use uma data de 2026",IF(D235="","Falta o valor",IF(NOT(ISNUMBER(D235)),"O valor precisa ser um número",IF(F235="","Falta a cotação deste mês (aba Cotações)",""))))))</f>
        <v/>
      </c>
    </row>
    <row r="236" spans="2:8">
      <c r="B236" s="20"/>
      <c r="C236" s="21"/>
      <c r="D236" s="22"/>
      <c r="E236" s="23">
        <f>IFERROR(IF(B236="","",IF(YEAR(B236)&lt;&gt;2026,"",MONTH(B236))),"")</f>
        <v/>
      </c>
      <c r="F236" s="24">
        <f>IF(E236="","",IF(INDEX('Cotações'!$E$6:$E$17,E236)="","",INDEX('Cotações'!$E$6:$E$17,E236)))</f>
        <v/>
      </c>
      <c r="G236" s="25">
        <f>IF(OR(F236="",NOT(ISNUMBER(D236))),"",ROUND(D236*F236,2))</f>
        <v/>
      </c>
      <c r="H236" s="26">
        <f>IF(AND(B236="",D236=""),"",IF(B236="","Falta a data",IF(IFERROR(YEAR(B236),0)&lt;&gt;2026,"Use uma data de 2026",IF(D236="","Falta o valor",IF(NOT(ISNUMBER(D236)),"O valor precisa ser um número",IF(F236="","Falta a cotação deste mês (aba Cotações)",""))))))</f>
        <v/>
      </c>
    </row>
    <row r="237" spans="2:8">
      <c r="B237" s="20"/>
      <c r="C237" s="21"/>
      <c r="D237" s="22"/>
      <c r="E237" s="23">
        <f>IFERROR(IF(B237="","",IF(YEAR(B237)&lt;&gt;2026,"",MONTH(B237))),"")</f>
        <v/>
      </c>
      <c r="F237" s="24">
        <f>IF(E237="","",IF(INDEX('Cotações'!$E$6:$E$17,E237)="","",INDEX('Cotações'!$E$6:$E$17,E237)))</f>
        <v/>
      </c>
      <c r="G237" s="25">
        <f>IF(OR(F237="",NOT(ISNUMBER(D237))),"",ROUND(D237*F237,2))</f>
        <v/>
      </c>
      <c r="H237" s="26">
        <f>IF(AND(B237="",D237=""),"",IF(B237="","Falta a data",IF(IFERROR(YEAR(B237),0)&lt;&gt;2026,"Use uma data de 2026",IF(D237="","Falta o valor",IF(NOT(ISNUMBER(D237)),"O valor precisa ser um número",IF(F237="","Falta a cotação deste mês (aba Cotações)",""))))))</f>
        <v/>
      </c>
    </row>
    <row r="238" spans="2:8">
      <c r="B238" s="20"/>
      <c r="C238" s="21"/>
      <c r="D238" s="22"/>
      <c r="E238" s="23">
        <f>IFERROR(IF(B238="","",IF(YEAR(B238)&lt;&gt;2026,"",MONTH(B238))),"")</f>
        <v/>
      </c>
      <c r="F238" s="24">
        <f>IF(E238="","",IF(INDEX('Cotações'!$E$6:$E$17,E238)="","",INDEX('Cotações'!$E$6:$E$17,E238)))</f>
        <v/>
      </c>
      <c r="G238" s="25">
        <f>IF(OR(F238="",NOT(ISNUMBER(D238))),"",ROUND(D238*F238,2))</f>
        <v/>
      </c>
      <c r="H238" s="26">
        <f>IF(AND(B238="",D238=""),"",IF(B238="","Falta a data",IF(IFERROR(YEAR(B238),0)&lt;&gt;2026,"Use uma data de 2026",IF(D238="","Falta o valor",IF(NOT(ISNUMBER(D238)),"O valor precisa ser um número",IF(F238="","Falta a cotação deste mês (aba Cotações)",""))))))</f>
        <v/>
      </c>
    </row>
    <row r="239" spans="2:8">
      <c r="B239" s="20"/>
      <c r="C239" s="21"/>
      <c r="D239" s="22"/>
      <c r="E239" s="23">
        <f>IFERROR(IF(B239="","",IF(YEAR(B239)&lt;&gt;2026,"",MONTH(B239))),"")</f>
        <v/>
      </c>
      <c r="F239" s="24">
        <f>IF(E239="","",IF(INDEX('Cotações'!$E$6:$E$17,E239)="","",INDEX('Cotações'!$E$6:$E$17,E239)))</f>
        <v/>
      </c>
      <c r="G239" s="25">
        <f>IF(OR(F239="",NOT(ISNUMBER(D239))),"",ROUND(D239*F239,2))</f>
        <v/>
      </c>
      <c r="H239" s="26">
        <f>IF(AND(B239="",D239=""),"",IF(B239="","Falta a data",IF(IFERROR(YEAR(B239),0)&lt;&gt;2026,"Use uma data de 2026",IF(D239="","Falta o valor",IF(NOT(ISNUMBER(D239)),"O valor precisa ser um número",IF(F239="","Falta a cotação deste mês (aba Cotações)",""))))))</f>
        <v/>
      </c>
    </row>
    <row r="240" spans="2:8">
      <c r="B240" s="20"/>
      <c r="C240" s="21"/>
      <c r="D240" s="22"/>
      <c r="E240" s="23">
        <f>IFERROR(IF(B240="","",IF(YEAR(B240)&lt;&gt;2026,"",MONTH(B240))),"")</f>
        <v/>
      </c>
      <c r="F240" s="24">
        <f>IF(E240="","",IF(INDEX('Cotações'!$E$6:$E$17,E240)="","",INDEX('Cotações'!$E$6:$E$17,E240)))</f>
        <v/>
      </c>
      <c r="G240" s="25">
        <f>IF(OR(F240="",NOT(ISNUMBER(D240))),"",ROUND(D240*F240,2))</f>
        <v/>
      </c>
      <c r="H240" s="26">
        <f>IF(AND(B240="",D240=""),"",IF(B240="","Falta a data",IF(IFERROR(YEAR(B240),0)&lt;&gt;2026,"Use uma data de 2026",IF(D240="","Falta o valor",IF(NOT(ISNUMBER(D240)),"O valor precisa ser um número",IF(F240="","Falta a cotação deste mês (aba Cotações)",""))))))</f>
        <v/>
      </c>
    </row>
    <row r="241" spans="2:8">
      <c r="B241" s="20"/>
      <c r="C241" s="21"/>
      <c r="D241" s="22"/>
      <c r="E241" s="23">
        <f>IFERROR(IF(B241="","",IF(YEAR(B241)&lt;&gt;2026,"",MONTH(B241))),"")</f>
        <v/>
      </c>
      <c r="F241" s="24">
        <f>IF(E241="","",IF(INDEX('Cotações'!$E$6:$E$17,E241)="","",INDEX('Cotações'!$E$6:$E$17,E241)))</f>
        <v/>
      </c>
      <c r="G241" s="25">
        <f>IF(OR(F241="",NOT(ISNUMBER(D241))),"",ROUND(D241*F241,2))</f>
        <v/>
      </c>
      <c r="H241" s="26">
        <f>IF(AND(B241="",D241=""),"",IF(B241="","Falta a data",IF(IFERROR(YEAR(B241),0)&lt;&gt;2026,"Use uma data de 2026",IF(D241="","Falta o valor",IF(NOT(ISNUMBER(D241)),"O valor precisa ser um número",IF(F241="","Falta a cotação deste mês (aba Cotações)",""))))))</f>
        <v/>
      </c>
    </row>
    <row r="242" spans="2:8">
      <c r="B242" s="20"/>
      <c r="C242" s="21"/>
      <c r="D242" s="22"/>
      <c r="E242" s="23">
        <f>IFERROR(IF(B242="","",IF(YEAR(B242)&lt;&gt;2026,"",MONTH(B242))),"")</f>
        <v/>
      </c>
      <c r="F242" s="24">
        <f>IF(E242="","",IF(INDEX('Cotações'!$E$6:$E$17,E242)="","",INDEX('Cotações'!$E$6:$E$17,E242)))</f>
        <v/>
      </c>
      <c r="G242" s="25">
        <f>IF(OR(F242="",NOT(ISNUMBER(D242))),"",ROUND(D242*F242,2))</f>
        <v/>
      </c>
      <c r="H242" s="26">
        <f>IF(AND(B242="",D242=""),"",IF(B242="","Falta a data",IF(IFERROR(YEAR(B242),0)&lt;&gt;2026,"Use uma data de 2026",IF(D242="","Falta o valor",IF(NOT(ISNUMBER(D242)),"O valor precisa ser um número",IF(F242="","Falta a cotação deste mês (aba Cotações)",""))))))</f>
        <v/>
      </c>
    </row>
    <row r="243" spans="2:8">
      <c r="B243" s="20"/>
      <c r="C243" s="21"/>
      <c r="D243" s="22"/>
      <c r="E243" s="23">
        <f>IFERROR(IF(B243="","",IF(YEAR(B243)&lt;&gt;2026,"",MONTH(B243))),"")</f>
        <v/>
      </c>
      <c r="F243" s="24">
        <f>IF(E243="","",IF(INDEX('Cotações'!$E$6:$E$17,E243)="","",INDEX('Cotações'!$E$6:$E$17,E243)))</f>
        <v/>
      </c>
      <c r="G243" s="25">
        <f>IF(OR(F243="",NOT(ISNUMBER(D243))),"",ROUND(D243*F243,2))</f>
        <v/>
      </c>
      <c r="H243" s="26">
        <f>IF(AND(B243="",D243=""),"",IF(B243="","Falta a data",IF(IFERROR(YEAR(B243),0)&lt;&gt;2026,"Use uma data de 2026",IF(D243="","Falta o valor",IF(NOT(ISNUMBER(D243)),"O valor precisa ser um número",IF(F243="","Falta a cotação deste mês (aba Cotações)",""))))))</f>
        <v/>
      </c>
    </row>
    <row r="244" spans="2:8">
      <c r="B244" s="20"/>
      <c r="C244" s="21"/>
      <c r="D244" s="22"/>
      <c r="E244" s="23">
        <f>IFERROR(IF(B244="","",IF(YEAR(B244)&lt;&gt;2026,"",MONTH(B244))),"")</f>
        <v/>
      </c>
      <c r="F244" s="24">
        <f>IF(E244="","",IF(INDEX('Cotações'!$E$6:$E$17,E244)="","",INDEX('Cotações'!$E$6:$E$17,E244)))</f>
        <v/>
      </c>
      <c r="G244" s="25">
        <f>IF(OR(F244="",NOT(ISNUMBER(D244))),"",ROUND(D244*F244,2))</f>
        <v/>
      </c>
      <c r="H244" s="26">
        <f>IF(AND(B244="",D244=""),"",IF(B244="","Falta a data",IF(IFERROR(YEAR(B244),0)&lt;&gt;2026,"Use uma data de 2026",IF(D244="","Falta o valor",IF(NOT(ISNUMBER(D244)),"O valor precisa ser um número",IF(F244="","Falta a cotação deste mês (aba Cotações)",""))))))</f>
        <v/>
      </c>
    </row>
    <row r="245" spans="2:8">
      <c r="B245" s="20"/>
      <c r="C245" s="21"/>
      <c r="D245" s="22"/>
      <c r="E245" s="23">
        <f>IFERROR(IF(B245="","",IF(YEAR(B245)&lt;&gt;2026,"",MONTH(B245))),"")</f>
        <v/>
      </c>
      <c r="F245" s="24">
        <f>IF(E245="","",IF(INDEX('Cotações'!$E$6:$E$17,E245)="","",INDEX('Cotações'!$E$6:$E$17,E245)))</f>
        <v/>
      </c>
      <c r="G245" s="25">
        <f>IF(OR(F245="",NOT(ISNUMBER(D245))),"",ROUND(D245*F245,2))</f>
        <v/>
      </c>
      <c r="H245" s="26">
        <f>IF(AND(B245="",D245=""),"",IF(B245="","Falta a data",IF(IFERROR(YEAR(B245),0)&lt;&gt;2026,"Use uma data de 2026",IF(D245="","Falta o valor",IF(NOT(ISNUMBER(D245)),"O valor precisa ser um número",IF(F245="","Falta a cotação deste mês (aba Cotações)",""))))))</f>
        <v/>
      </c>
    </row>
    <row r="246" spans="2:8">
      <c r="B246" s="20"/>
      <c r="C246" s="21"/>
      <c r="D246" s="22"/>
      <c r="E246" s="23">
        <f>IFERROR(IF(B246="","",IF(YEAR(B246)&lt;&gt;2026,"",MONTH(B246))),"")</f>
        <v/>
      </c>
      <c r="F246" s="24">
        <f>IF(E246="","",IF(INDEX('Cotações'!$E$6:$E$17,E246)="","",INDEX('Cotações'!$E$6:$E$17,E246)))</f>
        <v/>
      </c>
      <c r="G246" s="25">
        <f>IF(OR(F246="",NOT(ISNUMBER(D246))),"",ROUND(D246*F246,2))</f>
        <v/>
      </c>
      <c r="H246" s="26">
        <f>IF(AND(B246="",D246=""),"",IF(B246="","Falta a data",IF(IFERROR(YEAR(B246),0)&lt;&gt;2026,"Use uma data de 2026",IF(D246="","Falta o valor",IF(NOT(ISNUMBER(D246)),"O valor precisa ser um número",IF(F246="","Falta a cotação deste mês (aba Cotações)",""))))))</f>
        <v/>
      </c>
    </row>
    <row r="247" spans="2:8">
      <c r="B247" s="20"/>
      <c r="C247" s="21"/>
      <c r="D247" s="22"/>
      <c r="E247" s="23">
        <f>IFERROR(IF(B247="","",IF(YEAR(B247)&lt;&gt;2026,"",MONTH(B247))),"")</f>
        <v/>
      </c>
      <c r="F247" s="24">
        <f>IF(E247="","",IF(INDEX('Cotações'!$E$6:$E$17,E247)="","",INDEX('Cotações'!$E$6:$E$17,E247)))</f>
        <v/>
      </c>
      <c r="G247" s="25">
        <f>IF(OR(F247="",NOT(ISNUMBER(D247))),"",ROUND(D247*F247,2))</f>
        <v/>
      </c>
      <c r="H247" s="26">
        <f>IF(AND(B247="",D247=""),"",IF(B247="","Falta a data",IF(IFERROR(YEAR(B247),0)&lt;&gt;2026,"Use uma data de 2026",IF(D247="","Falta o valor",IF(NOT(ISNUMBER(D247)),"O valor precisa ser um número",IF(F247="","Falta a cotação deste mês (aba Cotações)",""))))))</f>
        <v/>
      </c>
    </row>
    <row r="248" spans="2:8">
      <c r="B248" s="20"/>
      <c r="C248" s="21"/>
      <c r="D248" s="22"/>
      <c r="E248" s="23">
        <f>IFERROR(IF(B248="","",IF(YEAR(B248)&lt;&gt;2026,"",MONTH(B248))),"")</f>
        <v/>
      </c>
      <c r="F248" s="24">
        <f>IF(E248="","",IF(INDEX('Cotações'!$E$6:$E$17,E248)="","",INDEX('Cotações'!$E$6:$E$17,E248)))</f>
        <v/>
      </c>
      <c r="G248" s="25">
        <f>IF(OR(F248="",NOT(ISNUMBER(D248))),"",ROUND(D248*F248,2))</f>
        <v/>
      </c>
      <c r="H248" s="26">
        <f>IF(AND(B248="",D248=""),"",IF(B248="","Falta a data",IF(IFERROR(YEAR(B248),0)&lt;&gt;2026,"Use uma data de 2026",IF(D248="","Falta o valor",IF(NOT(ISNUMBER(D248)),"O valor precisa ser um número",IF(F248="","Falta a cotação deste mês (aba Cotações)",""))))))</f>
        <v/>
      </c>
    </row>
    <row r="249" spans="2:8">
      <c r="B249" s="20"/>
      <c r="C249" s="21"/>
      <c r="D249" s="22"/>
      <c r="E249" s="23">
        <f>IFERROR(IF(B249="","",IF(YEAR(B249)&lt;&gt;2026,"",MONTH(B249))),"")</f>
        <v/>
      </c>
      <c r="F249" s="24">
        <f>IF(E249="","",IF(INDEX('Cotações'!$E$6:$E$17,E249)="","",INDEX('Cotações'!$E$6:$E$17,E249)))</f>
        <v/>
      </c>
      <c r="G249" s="25">
        <f>IF(OR(F249="",NOT(ISNUMBER(D249))),"",ROUND(D249*F249,2))</f>
        <v/>
      </c>
      <c r="H249" s="26">
        <f>IF(AND(B249="",D249=""),"",IF(B249="","Falta a data",IF(IFERROR(YEAR(B249),0)&lt;&gt;2026,"Use uma data de 2026",IF(D249="","Falta o valor",IF(NOT(ISNUMBER(D249)),"O valor precisa ser um número",IF(F249="","Falta a cotação deste mês (aba Cotações)",""))))))</f>
        <v/>
      </c>
    </row>
    <row r="250" spans="2:8">
      <c r="B250" s="20"/>
      <c r="C250" s="21"/>
      <c r="D250" s="22"/>
      <c r="E250" s="23">
        <f>IFERROR(IF(B250="","",IF(YEAR(B250)&lt;&gt;2026,"",MONTH(B250))),"")</f>
        <v/>
      </c>
      <c r="F250" s="24">
        <f>IF(E250="","",IF(INDEX('Cotações'!$E$6:$E$17,E250)="","",INDEX('Cotações'!$E$6:$E$17,E250)))</f>
        <v/>
      </c>
      <c r="G250" s="25">
        <f>IF(OR(F250="",NOT(ISNUMBER(D250))),"",ROUND(D250*F250,2))</f>
        <v/>
      </c>
      <c r="H250" s="26">
        <f>IF(AND(B250="",D250=""),"",IF(B250="","Falta a data",IF(IFERROR(YEAR(B250),0)&lt;&gt;2026,"Use uma data de 2026",IF(D250="","Falta o valor",IF(NOT(ISNUMBER(D250)),"O valor precisa ser um número",IF(F250="","Falta a cotação deste mês (aba Cotações)",""))))))</f>
        <v/>
      </c>
    </row>
    <row r="251" spans="2:8">
      <c r="B251" s="20"/>
      <c r="C251" s="21"/>
      <c r="D251" s="22"/>
      <c r="E251" s="23">
        <f>IFERROR(IF(B251="","",IF(YEAR(B251)&lt;&gt;2026,"",MONTH(B251))),"")</f>
        <v/>
      </c>
      <c r="F251" s="24">
        <f>IF(E251="","",IF(INDEX('Cotações'!$E$6:$E$17,E251)="","",INDEX('Cotações'!$E$6:$E$17,E251)))</f>
        <v/>
      </c>
      <c r="G251" s="25">
        <f>IF(OR(F251="",NOT(ISNUMBER(D251))),"",ROUND(D251*F251,2))</f>
        <v/>
      </c>
      <c r="H251" s="26">
        <f>IF(AND(B251="",D251=""),"",IF(B251="","Falta a data",IF(IFERROR(YEAR(B251),0)&lt;&gt;2026,"Use uma data de 2026",IF(D251="","Falta o valor",IF(NOT(ISNUMBER(D251)),"O valor precisa ser um número",IF(F251="","Falta a cotação deste mês (aba Cotações)",""))))))</f>
        <v/>
      </c>
    </row>
    <row r="252" spans="2:8">
      <c r="B252" s="20"/>
      <c r="C252" s="21"/>
      <c r="D252" s="22"/>
      <c r="E252" s="23">
        <f>IFERROR(IF(B252="","",IF(YEAR(B252)&lt;&gt;2026,"",MONTH(B252))),"")</f>
        <v/>
      </c>
      <c r="F252" s="24">
        <f>IF(E252="","",IF(INDEX('Cotações'!$E$6:$E$17,E252)="","",INDEX('Cotações'!$E$6:$E$17,E252)))</f>
        <v/>
      </c>
      <c r="G252" s="25">
        <f>IF(OR(F252="",NOT(ISNUMBER(D252))),"",ROUND(D252*F252,2))</f>
        <v/>
      </c>
      <c r="H252" s="26">
        <f>IF(AND(B252="",D252=""),"",IF(B252="","Falta a data",IF(IFERROR(YEAR(B252),0)&lt;&gt;2026,"Use uma data de 2026",IF(D252="","Falta o valor",IF(NOT(ISNUMBER(D252)),"O valor precisa ser um número",IF(F252="","Falta a cotação deste mês (aba Cotações)",""))))))</f>
        <v/>
      </c>
    </row>
    <row r="253" spans="2:8">
      <c r="B253" s="20"/>
      <c r="C253" s="21"/>
      <c r="D253" s="22"/>
      <c r="E253" s="23">
        <f>IFERROR(IF(B253="","",IF(YEAR(B253)&lt;&gt;2026,"",MONTH(B253))),"")</f>
        <v/>
      </c>
      <c r="F253" s="24">
        <f>IF(E253="","",IF(INDEX('Cotações'!$E$6:$E$17,E253)="","",INDEX('Cotações'!$E$6:$E$17,E253)))</f>
        <v/>
      </c>
      <c r="G253" s="25">
        <f>IF(OR(F253="",NOT(ISNUMBER(D253))),"",ROUND(D253*F253,2))</f>
        <v/>
      </c>
      <c r="H253" s="26">
        <f>IF(AND(B253="",D253=""),"",IF(B253="","Falta a data",IF(IFERROR(YEAR(B253),0)&lt;&gt;2026,"Use uma data de 2026",IF(D253="","Falta o valor",IF(NOT(ISNUMBER(D253)),"O valor precisa ser um número",IF(F253="","Falta a cotação deste mês (aba Cotações)",""))))))</f>
        <v/>
      </c>
    </row>
    <row r="254" spans="2:8">
      <c r="B254" s="20"/>
      <c r="C254" s="21"/>
      <c r="D254" s="22"/>
      <c r="E254" s="23">
        <f>IFERROR(IF(B254="","",IF(YEAR(B254)&lt;&gt;2026,"",MONTH(B254))),"")</f>
        <v/>
      </c>
      <c r="F254" s="24">
        <f>IF(E254="","",IF(INDEX('Cotações'!$E$6:$E$17,E254)="","",INDEX('Cotações'!$E$6:$E$17,E254)))</f>
        <v/>
      </c>
      <c r="G254" s="25">
        <f>IF(OR(F254="",NOT(ISNUMBER(D254))),"",ROUND(D254*F254,2))</f>
        <v/>
      </c>
      <c r="H254" s="26">
        <f>IF(AND(B254="",D254=""),"",IF(B254="","Falta a data",IF(IFERROR(YEAR(B254),0)&lt;&gt;2026,"Use uma data de 2026",IF(D254="","Falta o valor",IF(NOT(ISNUMBER(D254)),"O valor precisa ser um número",IF(F254="","Falta a cotação deste mês (aba Cotações)",""))))))</f>
        <v/>
      </c>
    </row>
    <row r="255" spans="2:8">
      <c r="B255" s="20"/>
      <c r="C255" s="21"/>
      <c r="D255" s="22"/>
      <c r="E255" s="23">
        <f>IFERROR(IF(B255="","",IF(YEAR(B255)&lt;&gt;2026,"",MONTH(B255))),"")</f>
        <v/>
      </c>
      <c r="F255" s="24">
        <f>IF(E255="","",IF(INDEX('Cotações'!$E$6:$E$17,E255)="","",INDEX('Cotações'!$E$6:$E$17,E255)))</f>
        <v/>
      </c>
      <c r="G255" s="25">
        <f>IF(OR(F255="",NOT(ISNUMBER(D255))),"",ROUND(D255*F255,2))</f>
        <v/>
      </c>
      <c r="H255" s="26">
        <f>IF(AND(B255="",D255=""),"",IF(B255="","Falta a data",IF(IFERROR(YEAR(B255),0)&lt;&gt;2026,"Use uma data de 2026",IF(D255="","Falta o valor",IF(NOT(ISNUMBER(D255)),"O valor precisa ser um número",IF(F255="","Falta a cotação deste mês (aba Cotações)",""))))))</f>
        <v/>
      </c>
    </row>
    <row r="256" spans="2:8">
      <c r="B256" s="20"/>
      <c r="C256" s="21"/>
      <c r="D256" s="22"/>
      <c r="E256" s="23">
        <f>IFERROR(IF(B256="","",IF(YEAR(B256)&lt;&gt;2026,"",MONTH(B256))),"")</f>
        <v/>
      </c>
      <c r="F256" s="24">
        <f>IF(E256="","",IF(INDEX('Cotações'!$E$6:$E$17,E256)="","",INDEX('Cotações'!$E$6:$E$17,E256)))</f>
        <v/>
      </c>
      <c r="G256" s="25">
        <f>IF(OR(F256="",NOT(ISNUMBER(D256))),"",ROUND(D256*F256,2))</f>
        <v/>
      </c>
      <c r="H256" s="26">
        <f>IF(AND(B256="",D256=""),"",IF(B256="","Falta a data",IF(IFERROR(YEAR(B256),0)&lt;&gt;2026,"Use uma data de 2026",IF(D256="","Falta o valor",IF(NOT(ISNUMBER(D256)),"O valor precisa ser um número",IF(F256="","Falta a cotação deste mês (aba Cotações)",""))))))</f>
        <v/>
      </c>
    </row>
    <row r="257" spans="2:8">
      <c r="B257" s="20"/>
      <c r="C257" s="21"/>
      <c r="D257" s="22"/>
      <c r="E257" s="23">
        <f>IFERROR(IF(B257="","",IF(YEAR(B257)&lt;&gt;2026,"",MONTH(B257))),"")</f>
        <v/>
      </c>
      <c r="F257" s="24">
        <f>IF(E257="","",IF(INDEX('Cotações'!$E$6:$E$17,E257)="","",INDEX('Cotações'!$E$6:$E$17,E257)))</f>
        <v/>
      </c>
      <c r="G257" s="25">
        <f>IF(OR(F257="",NOT(ISNUMBER(D257))),"",ROUND(D257*F257,2))</f>
        <v/>
      </c>
      <c r="H257" s="26">
        <f>IF(AND(B257="",D257=""),"",IF(B257="","Falta a data",IF(IFERROR(YEAR(B257),0)&lt;&gt;2026,"Use uma data de 2026",IF(D257="","Falta o valor",IF(NOT(ISNUMBER(D257)),"O valor precisa ser um número",IF(F257="","Falta a cotação deste mês (aba Cotações)",""))))))</f>
        <v/>
      </c>
    </row>
    <row r="258" spans="2:8">
      <c r="B258" s="20"/>
      <c r="C258" s="21"/>
      <c r="D258" s="22"/>
      <c r="E258" s="23">
        <f>IFERROR(IF(B258="","",IF(YEAR(B258)&lt;&gt;2026,"",MONTH(B258))),"")</f>
        <v/>
      </c>
      <c r="F258" s="24">
        <f>IF(E258="","",IF(INDEX('Cotações'!$E$6:$E$17,E258)="","",INDEX('Cotações'!$E$6:$E$17,E258)))</f>
        <v/>
      </c>
      <c r="G258" s="25">
        <f>IF(OR(F258="",NOT(ISNUMBER(D258))),"",ROUND(D258*F258,2))</f>
        <v/>
      </c>
      <c r="H258" s="26">
        <f>IF(AND(B258="",D258=""),"",IF(B258="","Falta a data",IF(IFERROR(YEAR(B258),0)&lt;&gt;2026,"Use uma data de 2026",IF(D258="","Falta o valor",IF(NOT(ISNUMBER(D258)),"O valor precisa ser um número",IF(F258="","Falta a cotação deste mês (aba Cotações)",""))))))</f>
        <v/>
      </c>
    </row>
    <row r="259" spans="2:8">
      <c r="B259" s="20"/>
      <c r="C259" s="21"/>
      <c r="D259" s="22"/>
      <c r="E259" s="23">
        <f>IFERROR(IF(B259="","",IF(YEAR(B259)&lt;&gt;2026,"",MONTH(B259))),"")</f>
        <v/>
      </c>
      <c r="F259" s="24">
        <f>IF(E259="","",IF(INDEX('Cotações'!$E$6:$E$17,E259)="","",INDEX('Cotações'!$E$6:$E$17,E259)))</f>
        <v/>
      </c>
      <c r="G259" s="25">
        <f>IF(OR(F259="",NOT(ISNUMBER(D259))),"",ROUND(D259*F259,2))</f>
        <v/>
      </c>
      <c r="H259" s="26">
        <f>IF(AND(B259="",D259=""),"",IF(B259="","Falta a data",IF(IFERROR(YEAR(B259),0)&lt;&gt;2026,"Use uma data de 2026",IF(D259="","Falta o valor",IF(NOT(ISNUMBER(D259)),"O valor precisa ser um número",IF(F259="","Falta a cotação deste mês (aba Cotações)",""))))))</f>
        <v/>
      </c>
    </row>
    <row r="260" spans="2:8">
      <c r="B260" s="20"/>
      <c r="C260" s="21"/>
      <c r="D260" s="22"/>
      <c r="E260" s="23">
        <f>IFERROR(IF(B260="","",IF(YEAR(B260)&lt;&gt;2026,"",MONTH(B260))),"")</f>
        <v/>
      </c>
      <c r="F260" s="24">
        <f>IF(E260="","",IF(INDEX('Cotações'!$E$6:$E$17,E260)="","",INDEX('Cotações'!$E$6:$E$17,E260)))</f>
        <v/>
      </c>
      <c r="G260" s="25">
        <f>IF(OR(F260="",NOT(ISNUMBER(D260))),"",ROUND(D260*F260,2))</f>
        <v/>
      </c>
      <c r="H260" s="26">
        <f>IF(AND(B260="",D260=""),"",IF(B260="","Falta a data",IF(IFERROR(YEAR(B260),0)&lt;&gt;2026,"Use uma data de 2026",IF(D260="","Falta o valor",IF(NOT(ISNUMBER(D260)),"O valor precisa ser um número",IF(F260="","Falta a cotação deste mês (aba Cotações)",""))))))</f>
        <v/>
      </c>
    </row>
    <row r="261" spans="2:8">
      <c r="B261" s="20"/>
      <c r="C261" s="21"/>
      <c r="D261" s="22"/>
      <c r="E261" s="23">
        <f>IFERROR(IF(B261="","",IF(YEAR(B261)&lt;&gt;2026,"",MONTH(B261))),"")</f>
        <v/>
      </c>
      <c r="F261" s="24">
        <f>IF(E261="","",IF(INDEX('Cotações'!$E$6:$E$17,E261)="","",INDEX('Cotações'!$E$6:$E$17,E261)))</f>
        <v/>
      </c>
      <c r="G261" s="25">
        <f>IF(OR(F261="",NOT(ISNUMBER(D261))),"",ROUND(D261*F261,2))</f>
        <v/>
      </c>
      <c r="H261" s="26">
        <f>IF(AND(B261="",D261=""),"",IF(B261="","Falta a data",IF(IFERROR(YEAR(B261),0)&lt;&gt;2026,"Use uma data de 2026",IF(D261="","Falta o valor",IF(NOT(ISNUMBER(D261)),"O valor precisa ser um número",IF(F261="","Falta a cotação deste mês (aba Cotações)",""))))))</f>
        <v/>
      </c>
    </row>
    <row r="262" spans="2:8">
      <c r="B262" s="20"/>
      <c r="C262" s="21"/>
      <c r="D262" s="22"/>
      <c r="E262" s="23">
        <f>IFERROR(IF(B262="","",IF(YEAR(B262)&lt;&gt;2026,"",MONTH(B262))),"")</f>
        <v/>
      </c>
      <c r="F262" s="24">
        <f>IF(E262="","",IF(INDEX('Cotações'!$E$6:$E$17,E262)="","",INDEX('Cotações'!$E$6:$E$17,E262)))</f>
        <v/>
      </c>
      <c r="G262" s="25">
        <f>IF(OR(F262="",NOT(ISNUMBER(D262))),"",ROUND(D262*F262,2))</f>
        <v/>
      </c>
      <c r="H262" s="26">
        <f>IF(AND(B262="",D262=""),"",IF(B262="","Falta a data",IF(IFERROR(YEAR(B262),0)&lt;&gt;2026,"Use uma data de 2026",IF(D262="","Falta o valor",IF(NOT(ISNUMBER(D262)),"O valor precisa ser um número",IF(F262="","Falta a cotação deste mês (aba Cotações)",""))))))</f>
        <v/>
      </c>
    </row>
    <row r="263" spans="2:8">
      <c r="B263" s="20"/>
      <c r="C263" s="21"/>
      <c r="D263" s="22"/>
      <c r="E263" s="23">
        <f>IFERROR(IF(B263="","",IF(YEAR(B263)&lt;&gt;2026,"",MONTH(B263))),"")</f>
        <v/>
      </c>
      <c r="F263" s="24">
        <f>IF(E263="","",IF(INDEX('Cotações'!$E$6:$E$17,E263)="","",INDEX('Cotações'!$E$6:$E$17,E263)))</f>
        <v/>
      </c>
      <c r="G263" s="25">
        <f>IF(OR(F263="",NOT(ISNUMBER(D263))),"",ROUND(D263*F263,2))</f>
        <v/>
      </c>
      <c r="H263" s="26">
        <f>IF(AND(B263="",D263=""),"",IF(B263="","Falta a data",IF(IFERROR(YEAR(B263),0)&lt;&gt;2026,"Use uma data de 2026",IF(D263="","Falta o valor",IF(NOT(ISNUMBER(D263)),"O valor precisa ser um número",IF(F263="","Falta a cotação deste mês (aba Cotações)",""))))))</f>
        <v/>
      </c>
    </row>
    <row r="264" spans="2:8">
      <c r="B264" s="20"/>
      <c r="C264" s="21"/>
      <c r="D264" s="22"/>
      <c r="E264" s="23">
        <f>IFERROR(IF(B264="","",IF(YEAR(B264)&lt;&gt;2026,"",MONTH(B264))),"")</f>
        <v/>
      </c>
      <c r="F264" s="24">
        <f>IF(E264="","",IF(INDEX('Cotações'!$E$6:$E$17,E264)="","",INDEX('Cotações'!$E$6:$E$17,E264)))</f>
        <v/>
      </c>
      <c r="G264" s="25">
        <f>IF(OR(F264="",NOT(ISNUMBER(D264))),"",ROUND(D264*F264,2))</f>
        <v/>
      </c>
      <c r="H264" s="26">
        <f>IF(AND(B264="",D264=""),"",IF(B264="","Falta a data",IF(IFERROR(YEAR(B264),0)&lt;&gt;2026,"Use uma data de 2026",IF(D264="","Falta o valor",IF(NOT(ISNUMBER(D264)),"O valor precisa ser um número",IF(F264="","Falta a cotação deste mês (aba Cotações)",""))))))</f>
        <v/>
      </c>
    </row>
    <row r="265" spans="2:8">
      <c r="B265" s="20"/>
      <c r="C265" s="21"/>
      <c r="D265" s="22"/>
      <c r="E265" s="23">
        <f>IFERROR(IF(B265="","",IF(YEAR(B265)&lt;&gt;2026,"",MONTH(B265))),"")</f>
        <v/>
      </c>
      <c r="F265" s="24">
        <f>IF(E265="","",IF(INDEX('Cotações'!$E$6:$E$17,E265)="","",INDEX('Cotações'!$E$6:$E$17,E265)))</f>
        <v/>
      </c>
      <c r="G265" s="25">
        <f>IF(OR(F265="",NOT(ISNUMBER(D265))),"",ROUND(D265*F265,2))</f>
        <v/>
      </c>
      <c r="H265" s="26">
        <f>IF(AND(B265="",D265=""),"",IF(B265="","Falta a data",IF(IFERROR(YEAR(B265),0)&lt;&gt;2026,"Use uma data de 2026",IF(D265="","Falta o valor",IF(NOT(ISNUMBER(D265)),"O valor precisa ser um número",IF(F265="","Falta a cotação deste mês (aba Cotações)",""))))))</f>
        <v/>
      </c>
    </row>
    <row r="266" spans="2:8">
      <c r="B266" s="20"/>
      <c r="C266" s="21"/>
      <c r="D266" s="22"/>
      <c r="E266" s="23">
        <f>IFERROR(IF(B266="","",IF(YEAR(B266)&lt;&gt;2026,"",MONTH(B266))),"")</f>
        <v/>
      </c>
      <c r="F266" s="24">
        <f>IF(E266="","",IF(INDEX('Cotações'!$E$6:$E$17,E266)="","",INDEX('Cotações'!$E$6:$E$17,E266)))</f>
        <v/>
      </c>
      <c r="G266" s="25">
        <f>IF(OR(F266="",NOT(ISNUMBER(D266))),"",ROUND(D266*F266,2))</f>
        <v/>
      </c>
      <c r="H266" s="26">
        <f>IF(AND(B266="",D266=""),"",IF(B266="","Falta a data",IF(IFERROR(YEAR(B266),0)&lt;&gt;2026,"Use uma data de 2026",IF(D266="","Falta o valor",IF(NOT(ISNUMBER(D266)),"O valor precisa ser um número",IF(F266="","Falta a cotação deste mês (aba Cotações)",""))))))</f>
        <v/>
      </c>
    </row>
    <row r="267" spans="2:8">
      <c r="B267" s="20"/>
      <c r="C267" s="21"/>
      <c r="D267" s="22"/>
      <c r="E267" s="23">
        <f>IFERROR(IF(B267="","",IF(YEAR(B267)&lt;&gt;2026,"",MONTH(B267))),"")</f>
        <v/>
      </c>
      <c r="F267" s="24">
        <f>IF(E267="","",IF(INDEX('Cotações'!$E$6:$E$17,E267)="","",INDEX('Cotações'!$E$6:$E$17,E267)))</f>
        <v/>
      </c>
      <c r="G267" s="25">
        <f>IF(OR(F267="",NOT(ISNUMBER(D267))),"",ROUND(D267*F267,2))</f>
        <v/>
      </c>
      <c r="H267" s="26">
        <f>IF(AND(B267="",D267=""),"",IF(B267="","Falta a data",IF(IFERROR(YEAR(B267),0)&lt;&gt;2026,"Use uma data de 2026",IF(D267="","Falta o valor",IF(NOT(ISNUMBER(D267)),"O valor precisa ser um número",IF(F267="","Falta a cotação deste mês (aba Cotações)",""))))))</f>
        <v/>
      </c>
    </row>
    <row r="268" spans="2:8">
      <c r="B268" s="20"/>
      <c r="C268" s="21"/>
      <c r="D268" s="22"/>
      <c r="E268" s="23">
        <f>IFERROR(IF(B268="","",IF(YEAR(B268)&lt;&gt;2026,"",MONTH(B268))),"")</f>
        <v/>
      </c>
      <c r="F268" s="24">
        <f>IF(E268="","",IF(INDEX('Cotações'!$E$6:$E$17,E268)="","",INDEX('Cotações'!$E$6:$E$17,E268)))</f>
        <v/>
      </c>
      <c r="G268" s="25">
        <f>IF(OR(F268="",NOT(ISNUMBER(D268))),"",ROUND(D268*F268,2))</f>
        <v/>
      </c>
      <c r="H268" s="26">
        <f>IF(AND(B268="",D268=""),"",IF(B268="","Falta a data",IF(IFERROR(YEAR(B268),0)&lt;&gt;2026,"Use uma data de 2026",IF(D268="","Falta o valor",IF(NOT(ISNUMBER(D268)),"O valor precisa ser um número",IF(F268="","Falta a cotação deste mês (aba Cotações)",""))))))</f>
        <v/>
      </c>
    </row>
    <row r="269" spans="2:8">
      <c r="B269" s="20"/>
      <c r="C269" s="21"/>
      <c r="D269" s="22"/>
      <c r="E269" s="23">
        <f>IFERROR(IF(B269="","",IF(YEAR(B269)&lt;&gt;2026,"",MONTH(B269))),"")</f>
        <v/>
      </c>
      <c r="F269" s="24">
        <f>IF(E269="","",IF(INDEX('Cotações'!$E$6:$E$17,E269)="","",INDEX('Cotações'!$E$6:$E$17,E269)))</f>
        <v/>
      </c>
      <c r="G269" s="25">
        <f>IF(OR(F269="",NOT(ISNUMBER(D269))),"",ROUND(D269*F269,2))</f>
        <v/>
      </c>
      <c r="H269" s="26">
        <f>IF(AND(B269="",D269=""),"",IF(B269="","Falta a data",IF(IFERROR(YEAR(B269),0)&lt;&gt;2026,"Use uma data de 2026",IF(D269="","Falta o valor",IF(NOT(ISNUMBER(D269)),"O valor precisa ser um número",IF(F269="","Falta a cotação deste mês (aba Cotações)",""))))))</f>
        <v/>
      </c>
    </row>
    <row r="270" spans="2:8">
      <c r="B270" s="20"/>
      <c r="C270" s="21"/>
      <c r="D270" s="22"/>
      <c r="E270" s="23">
        <f>IFERROR(IF(B270="","",IF(YEAR(B270)&lt;&gt;2026,"",MONTH(B270))),"")</f>
        <v/>
      </c>
      <c r="F270" s="24">
        <f>IF(E270="","",IF(INDEX('Cotações'!$E$6:$E$17,E270)="","",INDEX('Cotações'!$E$6:$E$17,E270)))</f>
        <v/>
      </c>
      <c r="G270" s="25">
        <f>IF(OR(F270="",NOT(ISNUMBER(D270))),"",ROUND(D270*F270,2))</f>
        <v/>
      </c>
      <c r="H270" s="26">
        <f>IF(AND(B270="",D270=""),"",IF(B270="","Falta a data",IF(IFERROR(YEAR(B270),0)&lt;&gt;2026,"Use uma data de 2026",IF(D270="","Falta o valor",IF(NOT(ISNUMBER(D270)),"O valor precisa ser um número",IF(F270="","Falta a cotação deste mês (aba Cotações)",""))))))</f>
        <v/>
      </c>
    </row>
    <row r="271" spans="2:8">
      <c r="B271" s="20"/>
      <c r="C271" s="21"/>
      <c r="D271" s="22"/>
      <c r="E271" s="23">
        <f>IFERROR(IF(B271="","",IF(YEAR(B271)&lt;&gt;2026,"",MONTH(B271))),"")</f>
        <v/>
      </c>
      <c r="F271" s="24">
        <f>IF(E271="","",IF(INDEX('Cotações'!$E$6:$E$17,E271)="","",INDEX('Cotações'!$E$6:$E$17,E271)))</f>
        <v/>
      </c>
      <c r="G271" s="25">
        <f>IF(OR(F271="",NOT(ISNUMBER(D271))),"",ROUND(D271*F271,2))</f>
        <v/>
      </c>
      <c r="H271" s="26">
        <f>IF(AND(B271="",D271=""),"",IF(B271="","Falta a data",IF(IFERROR(YEAR(B271),0)&lt;&gt;2026,"Use uma data de 2026",IF(D271="","Falta o valor",IF(NOT(ISNUMBER(D271)),"O valor precisa ser um número",IF(F271="","Falta a cotação deste mês (aba Cotações)",""))))))</f>
        <v/>
      </c>
    </row>
    <row r="272" spans="2:8">
      <c r="B272" s="20"/>
      <c r="C272" s="21"/>
      <c r="D272" s="22"/>
      <c r="E272" s="23">
        <f>IFERROR(IF(B272="","",IF(YEAR(B272)&lt;&gt;2026,"",MONTH(B272))),"")</f>
        <v/>
      </c>
      <c r="F272" s="24">
        <f>IF(E272="","",IF(INDEX('Cotações'!$E$6:$E$17,E272)="","",INDEX('Cotações'!$E$6:$E$17,E272)))</f>
        <v/>
      </c>
      <c r="G272" s="25">
        <f>IF(OR(F272="",NOT(ISNUMBER(D272))),"",ROUND(D272*F272,2))</f>
        <v/>
      </c>
      <c r="H272" s="26">
        <f>IF(AND(B272="",D272=""),"",IF(B272="","Falta a data",IF(IFERROR(YEAR(B272),0)&lt;&gt;2026,"Use uma data de 2026",IF(D272="","Falta o valor",IF(NOT(ISNUMBER(D272)),"O valor precisa ser um número",IF(F272="","Falta a cotação deste mês (aba Cotações)",""))))))</f>
        <v/>
      </c>
    </row>
    <row r="273" spans="2:8">
      <c r="B273" s="20"/>
      <c r="C273" s="21"/>
      <c r="D273" s="22"/>
      <c r="E273" s="23">
        <f>IFERROR(IF(B273="","",IF(YEAR(B273)&lt;&gt;2026,"",MONTH(B273))),"")</f>
        <v/>
      </c>
      <c r="F273" s="24">
        <f>IF(E273="","",IF(INDEX('Cotações'!$E$6:$E$17,E273)="","",INDEX('Cotações'!$E$6:$E$17,E273)))</f>
        <v/>
      </c>
      <c r="G273" s="25">
        <f>IF(OR(F273="",NOT(ISNUMBER(D273))),"",ROUND(D273*F273,2))</f>
        <v/>
      </c>
      <c r="H273" s="26">
        <f>IF(AND(B273="",D273=""),"",IF(B273="","Falta a data",IF(IFERROR(YEAR(B273),0)&lt;&gt;2026,"Use uma data de 2026",IF(D273="","Falta o valor",IF(NOT(ISNUMBER(D273)),"O valor precisa ser um número",IF(F273="","Falta a cotação deste mês (aba Cotações)",""))))))</f>
        <v/>
      </c>
    </row>
    <row r="274" spans="2:8">
      <c r="B274" s="20"/>
      <c r="C274" s="21"/>
      <c r="D274" s="22"/>
      <c r="E274" s="23">
        <f>IFERROR(IF(B274="","",IF(YEAR(B274)&lt;&gt;2026,"",MONTH(B274))),"")</f>
        <v/>
      </c>
      <c r="F274" s="24">
        <f>IF(E274="","",IF(INDEX('Cotações'!$E$6:$E$17,E274)="","",INDEX('Cotações'!$E$6:$E$17,E274)))</f>
        <v/>
      </c>
      <c r="G274" s="25">
        <f>IF(OR(F274="",NOT(ISNUMBER(D274))),"",ROUND(D274*F274,2))</f>
        <v/>
      </c>
      <c r="H274" s="26">
        <f>IF(AND(B274="",D274=""),"",IF(B274="","Falta a data",IF(IFERROR(YEAR(B274),0)&lt;&gt;2026,"Use uma data de 2026",IF(D274="","Falta o valor",IF(NOT(ISNUMBER(D274)),"O valor precisa ser um número",IF(F274="","Falta a cotação deste mês (aba Cotações)",""))))))</f>
        <v/>
      </c>
    </row>
    <row r="275" spans="2:8">
      <c r="B275" s="20"/>
      <c r="C275" s="21"/>
      <c r="D275" s="22"/>
      <c r="E275" s="23">
        <f>IFERROR(IF(B275="","",IF(YEAR(B275)&lt;&gt;2026,"",MONTH(B275))),"")</f>
        <v/>
      </c>
      <c r="F275" s="24">
        <f>IF(E275="","",IF(INDEX('Cotações'!$E$6:$E$17,E275)="","",INDEX('Cotações'!$E$6:$E$17,E275)))</f>
        <v/>
      </c>
      <c r="G275" s="25">
        <f>IF(OR(F275="",NOT(ISNUMBER(D275))),"",ROUND(D275*F275,2))</f>
        <v/>
      </c>
      <c r="H275" s="26">
        <f>IF(AND(B275="",D275=""),"",IF(B275="","Falta a data",IF(IFERROR(YEAR(B275),0)&lt;&gt;2026,"Use uma data de 2026",IF(D275="","Falta o valor",IF(NOT(ISNUMBER(D275)),"O valor precisa ser um número",IF(F275="","Falta a cotação deste mês (aba Cotações)",""))))))</f>
        <v/>
      </c>
    </row>
    <row r="276" spans="2:8">
      <c r="B276" s="20"/>
      <c r="C276" s="21"/>
      <c r="D276" s="22"/>
      <c r="E276" s="23">
        <f>IFERROR(IF(B276="","",IF(YEAR(B276)&lt;&gt;2026,"",MONTH(B276))),"")</f>
        <v/>
      </c>
      <c r="F276" s="24">
        <f>IF(E276="","",IF(INDEX('Cotações'!$E$6:$E$17,E276)="","",INDEX('Cotações'!$E$6:$E$17,E276)))</f>
        <v/>
      </c>
      <c r="G276" s="25">
        <f>IF(OR(F276="",NOT(ISNUMBER(D276))),"",ROUND(D276*F276,2))</f>
        <v/>
      </c>
      <c r="H276" s="26">
        <f>IF(AND(B276="",D276=""),"",IF(B276="","Falta a data",IF(IFERROR(YEAR(B276),0)&lt;&gt;2026,"Use uma data de 2026",IF(D276="","Falta o valor",IF(NOT(ISNUMBER(D276)),"O valor precisa ser um número",IF(F276="","Falta a cotação deste mês (aba Cotações)",""))))))</f>
        <v/>
      </c>
    </row>
    <row r="277" spans="2:8">
      <c r="B277" s="20"/>
      <c r="C277" s="21"/>
      <c r="D277" s="22"/>
      <c r="E277" s="23">
        <f>IFERROR(IF(B277="","",IF(YEAR(B277)&lt;&gt;2026,"",MONTH(B277))),"")</f>
        <v/>
      </c>
      <c r="F277" s="24">
        <f>IF(E277="","",IF(INDEX('Cotações'!$E$6:$E$17,E277)="","",INDEX('Cotações'!$E$6:$E$17,E277)))</f>
        <v/>
      </c>
      <c r="G277" s="25">
        <f>IF(OR(F277="",NOT(ISNUMBER(D277))),"",ROUND(D277*F277,2))</f>
        <v/>
      </c>
      <c r="H277" s="26">
        <f>IF(AND(B277="",D277=""),"",IF(B277="","Falta a data",IF(IFERROR(YEAR(B277),0)&lt;&gt;2026,"Use uma data de 2026",IF(D277="","Falta o valor",IF(NOT(ISNUMBER(D277)),"O valor precisa ser um número",IF(F277="","Falta a cotação deste mês (aba Cotações)",""))))))</f>
        <v/>
      </c>
    </row>
    <row r="278" spans="2:8">
      <c r="B278" s="20"/>
      <c r="C278" s="21"/>
      <c r="D278" s="22"/>
      <c r="E278" s="23">
        <f>IFERROR(IF(B278="","",IF(YEAR(B278)&lt;&gt;2026,"",MONTH(B278))),"")</f>
        <v/>
      </c>
      <c r="F278" s="24">
        <f>IF(E278="","",IF(INDEX('Cotações'!$E$6:$E$17,E278)="","",INDEX('Cotações'!$E$6:$E$17,E278)))</f>
        <v/>
      </c>
      <c r="G278" s="25">
        <f>IF(OR(F278="",NOT(ISNUMBER(D278))),"",ROUND(D278*F278,2))</f>
        <v/>
      </c>
      <c r="H278" s="26">
        <f>IF(AND(B278="",D278=""),"",IF(B278="","Falta a data",IF(IFERROR(YEAR(B278),0)&lt;&gt;2026,"Use uma data de 2026",IF(D278="","Falta o valor",IF(NOT(ISNUMBER(D278)),"O valor precisa ser um número",IF(F278="","Falta a cotação deste mês (aba Cotações)",""))))))</f>
        <v/>
      </c>
    </row>
    <row r="279" spans="2:8">
      <c r="B279" s="20"/>
      <c r="C279" s="21"/>
      <c r="D279" s="22"/>
      <c r="E279" s="23">
        <f>IFERROR(IF(B279="","",IF(YEAR(B279)&lt;&gt;2026,"",MONTH(B279))),"")</f>
        <v/>
      </c>
      <c r="F279" s="24">
        <f>IF(E279="","",IF(INDEX('Cotações'!$E$6:$E$17,E279)="","",INDEX('Cotações'!$E$6:$E$17,E279)))</f>
        <v/>
      </c>
      <c r="G279" s="25">
        <f>IF(OR(F279="",NOT(ISNUMBER(D279))),"",ROUND(D279*F279,2))</f>
        <v/>
      </c>
      <c r="H279" s="26">
        <f>IF(AND(B279="",D279=""),"",IF(B279="","Falta a data",IF(IFERROR(YEAR(B279),0)&lt;&gt;2026,"Use uma data de 2026",IF(D279="","Falta o valor",IF(NOT(ISNUMBER(D279)),"O valor precisa ser um número",IF(F279="","Falta a cotação deste mês (aba Cotações)",""))))))</f>
        <v/>
      </c>
    </row>
    <row r="280" spans="2:8">
      <c r="B280" s="20"/>
      <c r="C280" s="21"/>
      <c r="D280" s="22"/>
      <c r="E280" s="23">
        <f>IFERROR(IF(B280="","",IF(YEAR(B280)&lt;&gt;2026,"",MONTH(B280))),"")</f>
        <v/>
      </c>
      <c r="F280" s="24">
        <f>IF(E280="","",IF(INDEX('Cotações'!$E$6:$E$17,E280)="","",INDEX('Cotações'!$E$6:$E$17,E280)))</f>
        <v/>
      </c>
      <c r="G280" s="25">
        <f>IF(OR(F280="",NOT(ISNUMBER(D280))),"",ROUND(D280*F280,2))</f>
        <v/>
      </c>
      <c r="H280" s="26">
        <f>IF(AND(B280="",D280=""),"",IF(B280="","Falta a data",IF(IFERROR(YEAR(B280),0)&lt;&gt;2026,"Use uma data de 2026",IF(D280="","Falta o valor",IF(NOT(ISNUMBER(D280)),"O valor precisa ser um número",IF(F280="","Falta a cotação deste mês (aba Cotações)",""))))))</f>
        <v/>
      </c>
    </row>
    <row r="281" spans="2:8">
      <c r="B281" s="20"/>
      <c r="C281" s="21"/>
      <c r="D281" s="22"/>
      <c r="E281" s="23">
        <f>IFERROR(IF(B281="","",IF(YEAR(B281)&lt;&gt;2026,"",MONTH(B281))),"")</f>
        <v/>
      </c>
      <c r="F281" s="24">
        <f>IF(E281="","",IF(INDEX('Cotações'!$E$6:$E$17,E281)="","",INDEX('Cotações'!$E$6:$E$17,E281)))</f>
        <v/>
      </c>
      <c r="G281" s="25">
        <f>IF(OR(F281="",NOT(ISNUMBER(D281))),"",ROUND(D281*F281,2))</f>
        <v/>
      </c>
      <c r="H281" s="26">
        <f>IF(AND(B281="",D281=""),"",IF(B281="","Falta a data",IF(IFERROR(YEAR(B281),0)&lt;&gt;2026,"Use uma data de 2026",IF(D281="","Falta o valor",IF(NOT(ISNUMBER(D281)),"O valor precisa ser um número",IF(F281="","Falta a cotação deste mês (aba Cotações)",""))))))</f>
        <v/>
      </c>
    </row>
    <row r="282" spans="2:8">
      <c r="B282" s="20"/>
      <c r="C282" s="21"/>
      <c r="D282" s="22"/>
      <c r="E282" s="23">
        <f>IFERROR(IF(B282="","",IF(YEAR(B282)&lt;&gt;2026,"",MONTH(B282))),"")</f>
        <v/>
      </c>
      <c r="F282" s="24">
        <f>IF(E282="","",IF(INDEX('Cotações'!$E$6:$E$17,E282)="","",INDEX('Cotações'!$E$6:$E$17,E282)))</f>
        <v/>
      </c>
      <c r="G282" s="25">
        <f>IF(OR(F282="",NOT(ISNUMBER(D282))),"",ROUND(D282*F282,2))</f>
        <v/>
      </c>
      <c r="H282" s="26">
        <f>IF(AND(B282="",D282=""),"",IF(B282="","Falta a data",IF(IFERROR(YEAR(B282),0)&lt;&gt;2026,"Use uma data de 2026",IF(D282="","Falta o valor",IF(NOT(ISNUMBER(D282)),"O valor precisa ser um número",IF(F282="","Falta a cotação deste mês (aba Cotações)",""))))))</f>
        <v/>
      </c>
    </row>
    <row r="283" spans="2:8">
      <c r="B283" s="20"/>
      <c r="C283" s="21"/>
      <c r="D283" s="22"/>
      <c r="E283" s="23">
        <f>IFERROR(IF(B283="","",IF(YEAR(B283)&lt;&gt;2026,"",MONTH(B283))),"")</f>
        <v/>
      </c>
      <c r="F283" s="24">
        <f>IF(E283="","",IF(INDEX('Cotações'!$E$6:$E$17,E283)="","",INDEX('Cotações'!$E$6:$E$17,E283)))</f>
        <v/>
      </c>
      <c r="G283" s="25">
        <f>IF(OR(F283="",NOT(ISNUMBER(D283))),"",ROUND(D283*F283,2))</f>
        <v/>
      </c>
      <c r="H283" s="26">
        <f>IF(AND(B283="",D283=""),"",IF(B283="","Falta a data",IF(IFERROR(YEAR(B283),0)&lt;&gt;2026,"Use uma data de 2026",IF(D283="","Falta o valor",IF(NOT(ISNUMBER(D283)),"O valor precisa ser um número",IF(F283="","Falta a cotação deste mês (aba Cotações)",""))))))</f>
        <v/>
      </c>
    </row>
    <row r="284" spans="2:8">
      <c r="B284" s="20"/>
      <c r="C284" s="21"/>
      <c r="D284" s="22"/>
      <c r="E284" s="23">
        <f>IFERROR(IF(B284="","",IF(YEAR(B284)&lt;&gt;2026,"",MONTH(B284))),"")</f>
        <v/>
      </c>
      <c r="F284" s="24">
        <f>IF(E284="","",IF(INDEX('Cotações'!$E$6:$E$17,E284)="","",INDEX('Cotações'!$E$6:$E$17,E284)))</f>
        <v/>
      </c>
      <c r="G284" s="25">
        <f>IF(OR(F284="",NOT(ISNUMBER(D284))),"",ROUND(D284*F284,2))</f>
        <v/>
      </c>
      <c r="H284" s="26">
        <f>IF(AND(B284="",D284=""),"",IF(B284="","Falta a data",IF(IFERROR(YEAR(B284),0)&lt;&gt;2026,"Use uma data de 2026",IF(D284="","Falta o valor",IF(NOT(ISNUMBER(D284)),"O valor precisa ser um número",IF(F284="","Falta a cotação deste mês (aba Cotações)",""))))))</f>
        <v/>
      </c>
    </row>
    <row r="285" spans="2:8">
      <c r="B285" s="20"/>
      <c r="C285" s="21"/>
      <c r="D285" s="22"/>
      <c r="E285" s="23">
        <f>IFERROR(IF(B285="","",IF(YEAR(B285)&lt;&gt;2026,"",MONTH(B285))),"")</f>
        <v/>
      </c>
      <c r="F285" s="24">
        <f>IF(E285="","",IF(INDEX('Cotações'!$E$6:$E$17,E285)="","",INDEX('Cotações'!$E$6:$E$17,E285)))</f>
        <v/>
      </c>
      <c r="G285" s="25">
        <f>IF(OR(F285="",NOT(ISNUMBER(D285))),"",ROUND(D285*F285,2))</f>
        <v/>
      </c>
      <c r="H285" s="26">
        <f>IF(AND(B285="",D285=""),"",IF(B285="","Falta a data",IF(IFERROR(YEAR(B285),0)&lt;&gt;2026,"Use uma data de 2026",IF(D285="","Falta o valor",IF(NOT(ISNUMBER(D285)),"O valor precisa ser um número",IF(F285="","Falta a cotação deste mês (aba Cotações)",""))))))</f>
        <v/>
      </c>
    </row>
    <row r="286" spans="2:8">
      <c r="B286" s="20"/>
      <c r="C286" s="21"/>
      <c r="D286" s="22"/>
      <c r="E286" s="23">
        <f>IFERROR(IF(B286="","",IF(YEAR(B286)&lt;&gt;2026,"",MONTH(B286))),"")</f>
        <v/>
      </c>
      <c r="F286" s="24">
        <f>IF(E286="","",IF(INDEX('Cotações'!$E$6:$E$17,E286)="","",INDEX('Cotações'!$E$6:$E$17,E286)))</f>
        <v/>
      </c>
      <c r="G286" s="25">
        <f>IF(OR(F286="",NOT(ISNUMBER(D286))),"",ROUND(D286*F286,2))</f>
        <v/>
      </c>
      <c r="H286" s="26">
        <f>IF(AND(B286="",D286=""),"",IF(B286="","Falta a data",IF(IFERROR(YEAR(B286),0)&lt;&gt;2026,"Use uma data de 2026",IF(D286="","Falta o valor",IF(NOT(ISNUMBER(D286)),"O valor precisa ser um número",IF(F286="","Falta a cotação deste mês (aba Cotações)",""))))))</f>
        <v/>
      </c>
    </row>
    <row r="287" spans="2:8">
      <c r="B287" s="20"/>
      <c r="C287" s="21"/>
      <c r="D287" s="22"/>
      <c r="E287" s="23">
        <f>IFERROR(IF(B287="","",IF(YEAR(B287)&lt;&gt;2026,"",MONTH(B287))),"")</f>
        <v/>
      </c>
      <c r="F287" s="24">
        <f>IF(E287="","",IF(INDEX('Cotações'!$E$6:$E$17,E287)="","",INDEX('Cotações'!$E$6:$E$17,E287)))</f>
        <v/>
      </c>
      <c r="G287" s="25">
        <f>IF(OR(F287="",NOT(ISNUMBER(D287))),"",ROUND(D287*F287,2))</f>
        <v/>
      </c>
      <c r="H287" s="26">
        <f>IF(AND(B287="",D287=""),"",IF(B287="","Falta a data",IF(IFERROR(YEAR(B287),0)&lt;&gt;2026,"Use uma data de 2026",IF(D287="","Falta o valor",IF(NOT(ISNUMBER(D287)),"O valor precisa ser um número",IF(F287="","Falta a cotação deste mês (aba Cotações)",""))))))</f>
        <v/>
      </c>
    </row>
    <row r="288" spans="2:8">
      <c r="B288" s="20"/>
      <c r="C288" s="21"/>
      <c r="D288" s="22"/>
      <c r="E288" s="23">
        <f>IFERROR(IF(B288="","",IF(YEAR(B288)&lt;&gt;2026,"",MONTH(B288))),"")</f>
        <v/>
      </c>
      <c r="F288" s="24">
        <f>IF(E288="","",IF(INDEX('Cotações'!$E$6:$E$17,E288)="","",INDEX('Cotações'!$E$6:$E$17,E288)))</f>
        <v/>
      </c>
      <c r="G288" s="25">
        <f>IF(OR(F288="",NOT(ISNUMBER(D288))),"",ROUND(D288*F288,2))</f>
        <v/>
      </c>
      <c r="H288" s="26">
        <f>IF(AND(B288="",D288=""),"",IF(B288="","Falta a data",IF(IFERROR(YEAR(B288),0)&lt;&gt;2026,"Use uma data de 2026",IF(D288="","Falta o valor",IF(NOT(ISNUMBER(D288)),"O valor precisa ser um número",IF(F288="","Falta a cotação deste mês (aba Cotações)",""))))))</f>
        <v/>
      </c>
    </row>
    <row r="289" spans="2:8">
      <c r="B289" s="20"/>
      <c r="C289" s="21"/>
      <c r="D289" s="22"/>
      <c r="E289" s="23">
        <f>IFERROR(IF(B289="","",IF(YEAR(B289)&lt;&gt;2026,"",MONTH(B289))),"")</f>
        <v/>
      </c>
      <c r="F289" s="24">
        <f>IF(E289="","",IF(INDEX('Cotações'!$E$6:$E$17,E289)="","",INDEX('Cotações'!$E$6:$E$17,E289)))</f>
        <v/>
      </c>
      <c r="G289" s="25">
        <f>IF(OR(F289="",NOT(ISNUMBER(D289))),"",ROUND(D289*F289,2))</f>
        <v/>
      </c>
      <c r="H289" s="26">
        <f>IF(AND(B289="",D289=""),"",IF(B289="","Falta a data",IF(IFERROR(YEAR(B289),0)&lt;&gt;2026,"Use uma data de 2026",IF(D289="","Falta o valor",IF(NOT(ISNUMBER(D289)),"O valor precisa ser um número",IF(F289="","Falta a cotação deste mês (aba Cotações)",""))))))</f>
        <v/>
      </c>
    </row>
    <row r="290" spans="2:8">
      <c r="B290" s="20"/>
      <c r="C290" s="21"/>
      <c r="D290" s="22"/>
      <c r="E290" s="23">
        <f>IFERROR(IF(B290="","",IF(YEAR(B290)&lt;&gt;2026,"",MONTH(B290))),"")</f>
        <v/>
      </c>
      <c r="F290" s="24">
        <f>IF(E290="","",IF(INDEX('Cotações'!$E$6:$E$17,E290)="","",INDEX('Cotações'!$E$6:$E$17,E290)))</f>
        <v/>
      </c>
      <c r="G290" s="25">
        <f>IF(OR(F290="",NOT(ISNUMBER(D290))),"",ROUND(D290*F290,2))</f>
        <v/>
      </c>
      <c r="H290" s="26">
        <f>IF(AND(B290="",D290=""),"",IF(B290="","Falta a data",IF(IFERROR(YEAR(B290),0)&lt;&gt;2026,"Use uma data de 2026",IF(D290="","Falta o valor",IF(NOT(ISNUMBER(D290)),"O valor precisa ser um número",IF(F290="","Falta a cotação deste mês (aba Cotações)",""))))))</f>
        <v/>
      </c>
    </row>
    <row r="291" spans="2:8">
      <c r="B291" s="20"/>
      <c r="C291" s="21"/>
      <c r="D291" s="22"/>
      <c r="E291" s="23">
        <f>IFERROR(IF(B291="","",IF(YEAR(B291)&lt;&gt;2026,"",MONTH(B291))),"")</f>
        <v/>
      </c>
      <c r="F291" s="24">
        <f>IF(E291="","",IF(INDEX('Cotações'!$E$6:$E$17,E291)="","",INDEX('Cotações'!$E$6:$E$17,E291)))</f>
        <v/>
      </c>
      <c r="G291" s="25">
        <f>IF(OR(F291="",NOT(ISNUMBER(D291))),"",ROUND(D291*F291,2))</f>
        <v/>
      </c>
      <c r="H291" s="26">
        <f>IF(AND(B291="",D291=""),"",IF(B291="","Falta a data",IF(IFERROR(YEAR(B291),0)&lt;&gt;2026,"Use uma data de 2026",IF(D291="","Falta o valor",IF(NOT(ISNUMBER(D291)),"O valor precisa ser um número",IF(F291="","Falta a cotação deste mês (aba Cotações)",""))))))</f>
        <v/>
      </c>
    </row>
    <row r="292" spans="2:8">
      <c r="B292" s="20"/>
      <c r="C292" s="21"/>
      <c r="D292" s="22"/>
      <c r="E292" s="23">
        <f>IFERROR(IF(B292="","",IF(YEAR(B292)&lt;&gt;2026,"",MONTH(B292))),"")</f>
        <v/>
      </c>
      <c r="F292" s="24">
        <f>IF(E292="","",IF(INDEX('Cotações'!$E$6:$E$17,E292)="","",INDEX('Cotações'!$E$6:$E$17,E292)))</f>
        <v/>
      </c>
      <c r="G292" s="25">
        <f>IF(OR(F292="",NOT(ISNUMBER(D292))),"",ROUND(D292*F292,2))</f>
        <v/>
      </c>
      <c r="H292" s="26">
        <f>IF(AND(B292="",D292=""),"",IF(B292="","Falta a data",IF(IFERROR(YEAR(B292),0)&lt;&gt;2026,"Use uma data de 2026",IF(D292="","Falta o valor",IF(NOT(ISNUMBER(D292)),"O valor precisa ser um número",IF(F292="","Falta a cotação deste mês (aba Cotações)",""))))))</f>
        <v/>
      </c>
    </row>
    <row r="293" spans="2:8">
      <c r="B293" s="20"/>
      <c r="C293" s="21"/>
      <c r="D293" s="22"/>
      <c r="E293" s="23">
        <f>IFERROR(IF(B293="","",IF(YEAR(B293)&lt;&gt;2026,"",MONTH(B293))),"")</f>
        <v/>
      </c>
      <c r="F293" s="24">
        <f>IF(E293="","",IF(INDEX('Cotações'!$E$6:$E$17,E293)="","",INDEX('Cotações'!$E$6:$E$17,E293)))</f>
        <v/>
      </c>
      <c r="G293" s="25">
        <f>IF(OR(F293="",NOT(ISNUMBER(D293))),"",ROUND(D293*F293,2))</f>
        <v/>
      </c>
      <c r="H293" s="26">
        <f>IF(AND(B293="",D293=""),"",IF(B293="","Falta a data",IF(IFERROR(YEAR(B293),0)&lt;&gt;2026,"Use uma data de 2026",IF(D293="","Falta o valor",IF(NOT(ISNUMBER(D293)),"O valor precisa ser um número",IF(F293="","Falta a cotação deste mês (aba Cotações)",""))))))</f>
        <v/>
      </c>
    </row>
    <row r="294" spans="2:8">
      <c r="B294" s="20"/>
      <c r="C294" s="21"/>
      <c r="D294" s="22"/>
      <c r="E294" s="23">
        <f>IFERROR(IF(B294="","",IF(YEAR(B294)&lt;&gt;2026,"",MONTH(B294))),"")</f>
        <v/>
      </c>
      <c r="F294" s="24">
        <f>IF(E294="","",IF(INDEX('Cotações'!$E$6:$E$17,E294)="","",INDEX('Cotações'!$E$6:$E$17,E294)))</f>
        <v/>
      </c>
      <c r="G294" s="25">
        <f>IF(OR(F294="",NOT(ISNUMBER(D294))),"",ROUND(D294*F294,2))</f>
        <v/>
      </c>
      <c r="H294" s="26">
        <f>IF(AND(B294="",D294=""),"",IF(B294="","Falta a data",IF(IFERROR(YEAR(B294),0)&lt;&gt;2026,"Use uma data de 2026",IF(D294="","Falta o valor",IF(NOT(ISNUMBER(D294)),"O valor precisa ser um número",IF(F294="","Falta a cotação deste mês (aba Cotações)",""))))))</f>
        <v/>
      </c>
    </row>
    <row r="295" spans="2:8">
      <c r="B295" s="20"/>
      <c r="C295" s="21"/>
      <c r="D295" s="22"/>
      <c r="E295" s="23">
        <f>IFERROR(IF(B295="","",IF(YEAR(B295)&lt;&gt;2026,"",MONTH(B295))),"")</f>
        <v/>
      </c>
      <c r="F295" s="24">
        <f>IF(E295="","",IF(INDEX('Cotações'!$E$6:$E$17,E295)="","",INDEX('Cotações'!$E$6:$E$17,E295)))</f>
        <v/>
      </c>
      <c r="G295" s="25">
        <f>IF(OR(F295="",NOT(ISNUMBER(D295))),"",ROUND(D295*F295,2))</f>
        <v/>
      </c>
      <c r="H295" s="26">
        <f>IF(AND(B295="",D295=""),"",IF(B295="","Falta a data",IF(IFERROR(YEAR(B295),0)&lt;&gt;2026,"Use uma data de 2026",IF(D295="","Falta o valor",IF(NOT(ISNUMBER(D295)),"O valor precisa ser um número",IF(F295="","Falta a cotação deste mês (aba Cotações)",""))))))</f>
        <v/>
      </c>
    </row>
    <row r="296" spans="2:8">
      <c r="B296" s="20"/>
      <c r="C296" s="21"/>
      <c r="D296" s="22"/>
      <c r="E296" s="23">
        <f>IFERROR(IF(B296="","",IF(YEAR(B296)&lt;&gt;2026,"",MONTH(B296))),"")</f>
        <v/>
      </c>
      <c r="F296" s="24">
        <f>IF(E296="","",IF(INDEX('Cotações'!$E$6:$E$17,E296)="","",INDEX('Cotações'!$E$6:$E$17,E296)))</f>
        <v/>
      </c>
      <c r="G296" s="25">
        <f>IF(OR(F296="",NOT(ISNUMBER(D296))),"",ROUND(D296*F296,2))</f>
        <v/>
      </c>
      <c r="H296" s="26">
        <f>IF(AND(B296="",D296=""),"",IF(B296="","Falta a data",IF(IFERROR(YEAR(B296),0)&lt;&gt;2026,"Use uma data de 2026",IF(D296="","Falta o valor",IF(NOT(ISNUMBER(D296)),"O valor precisa ser um número",IF(F296="","Falta a cotação deste mês (aba Cotações)",""))))))</f>
        <v/>
      </c>
    </row>
    <row r="297" spans="2:8">
      <c r="B297" s="20"/>
      <c r="C297" s="21"/>
      <c r="D297" s="22"/>
      <c r="E297" s="23">
        <f>IFERROR(IF(B297="","",IF(YEAR(B297)&lt;&gt;2026,"",MONTH(B297))),"")</f>
        <v/>
      </c>
      <c r="F297" s="24">
        <f>IF(E297="","",IF(INDEX('Cotações'!$E$6:$E$17,E297)="","",INDEX('Cotações'!$E$6:$E$17,E297)))</f>
        <v/>
      </c>
      <c r="G297" s="25">
        <f>IF(OR(F297="",NOT(ISNUMBER(D297))),"",ROUND(D297*F297,2))</f>
        <v/>
      </c>
      <c r="H297" s="26">
        <f>IF(AND(B297="",D297=""),"",IF(B297="","Falta a data",IF(IFERROR(YEAR(B297),0)&lt;&gt;2026,"Use uma data de 2026",IF(D297="","Falta o valor",IF(NOT(ISNUMBER(D297)),"O valor precisa ser um número",IF(F297="","Falta a cotação deste mês (aba Cotações)",""))))))</f>
        <v/>
      </c>
    </row>
    <row r="298" spans="2:8">
      <c r="B298" s="20"/>
      <c r="C298" s="21"/>
      <c r="D298" s="22"/>
      <c r="E298" s="23">
        <f>IFERROR(IF(B298="","",IF(YEAR(B298)&lt;&gt;2026,"",MONTH(B298))),"")</f>
        <v/>
      </c>
      <c r="F298" s="24">
        <f>IF(E298="","",IF(INDEX('Cotações'!$E$6:$E$17,E298)="","",INDEX('Cotações'!$E$6:$E$17,E298)))</f>
        <v/>
      </c>
      <c r="G298" s="25">
        <f>IF(OR(F298="",NOT(ISNUMBER(D298))),"",ROUND(D298*F298,2))</f>
        <v/>
      </c>
      <c r="H298" s="26">
        <f>IF(AND(B298="",D298=""),"",IF(B298="","Falta a data",IF(IFERROR(YEAR(B298),0)&lt;&gt;2026,"Use uma data de 2026",IF(D298="","Falta o valor",IF(NOT(ISNUMBER(D298)),"O valor precisa ser um número",IF(F298="","Falta a cotação deste mês (aba Cotações)",""))))))</f>
        <v/>
      </c>
    </row>
    <row r="299" spans="2:8">
      <c r="B299" s="20"/>
      <c r="C299" s="21"/>
      <c r="D299" s="22"/>
      <c r="E299" s="23">
        <f>IFERROR(IF(B299="","",IF(YEAR(B299)&lt;&gt;2026,"",MONTH(B299))),"")</f>
        <v/>
      </c>
      <c r="F299" s="24">
        <f>IF(E299="","",IF(INDEX('Cotações'!$E$6:$E$17,E299)="","",INDEX('Cotações'!$E$6:$E$17,E299)))</f>
        <v/>
      </c>
      <c r="G299" s="25">
        <f>IF(OR(F299="",NOT(ISNUMBER(D299))),"",ROUND(D299*F299,2))</f>
        <v/>
      </c>
      <c r="H299" s="26">
        <f>IF(AND(B299="",D299=""),"",IF(B299="","Falta a data",IF(IFERROR(YEAR(B299),0)&lt;&gt;2026,"Use uma data de 2026",IF(D299="","Falta o valor",IF(NOT(ISNUMBER(D299)),"O valor precisa ser um número",IF(F299="","Falta a cotação deste mês (aba Cotações)",""))))))</f>
        <v/>
      </c>
    </row>
    <row r="300" spans="2:8">
      <c r="B300" s="20"/>
      <c r="C300" s="21"/>
      <c r="D300" s="22"/>
      <c r="E300" s="23">
        <f>IFERROR(IF(B300="","",IF(YEAR(B300)&lt;&gt;2026,"",MONTH(B300))),"")</f>
        <v/>
      </c>
      <c r="F300" s="24">
        <f>IF(E300="","",IF(INDEX('Cotações'!$E$6:$E$17,E300)="","",INDEX('Cotações'!$E$6:$E$17,E300)))</f>
        <v/>
      </c>
      <c r="G300" s="25">
        <f>IF(OR(F300="",NOT(ISNUMBER(D300))),"",ROUND(D300*F300,2))</f>
        <v/>
      </c>
      <c r="H300" s="26">
        <f>IF(AND(B300="",D300=""),"",IF(B300="","Falta a data",IF(IFERROR(YEAR(B300),0)&lt;&gt;2026,"Use uma data de 2026",IF(D300="","Falta o valor",IF(NOT(ISNUMBER(D300)),"O valor precisa ser um número",IF(F300="","Falta a cotação deste mês (aba Cotações)",""))))))</f>
        <v/>
      </c>
    </row>
    <row r="301" spans="2:8">
      <c r="B301" s="20"/>
      <c r="C301" s="21"/>
      <c r="D301" s="22"/>
      <c r="E301" s="23">
        <f>IFERROR(IF(B301="","",IF(YEAR(B301)&lt;&gt;2026,"",MONTH(B301))),"")</f>
        <v/>
      </c>
      <c r="F301" s="24">
        <f>IF(E301="","",IF(INDEX('Cotações'!$E$6:$E$17,E301)="","",INDEX('Cotações'!$E$6:$E$17,E301)))</f>
        <v/>
      </c>
      <c r="G301" s="25">
        <f>IF(OR(F301="",NOT(ISNUMBER(D301))),"",ROUND(D301*F301,2))</f>
        <v/>
      </c>
      <c r="H301" s="26">
        <f>IF(AND(B301="",D301=""),"",IF(B301="","Falta a data",IF(IFERROR(YEAR(B301),0)&lt;&gt;2026,"Use uma data de 2026",IF(D301="","Falta o valor",IF(NOT(ISNUMBER(D301)),"O valor precisa ser um número",IF(F301="","Falta a cotação deste mês (aba Cotações)",""))))))</f>
        <v/>
      </c>
    </row>
    <row r="302" spans="2:8">
      <c r="B302" s="20"/>
      <c r="C302" s="21"/>
      <c r="D302" s="22"/>
      <c r="E302" s="23">
        <f>IFERROR(IF(B302="","",IF(YEAR(B302)&lt;&gt;2026,"",MONTH(B302))),"")</f>
        <v/>
      </c>
      <c r="F302" s="24">
        <f>IF(E302="","",IF(INDEX('Cotações'!$E$6:$E$17,E302)="","",INDEX('Cotações'!$E$6:$E$17,E302)))</f>
        <v/>
      </c>
      <c r="G302" s="25">
        <f>IF(OR(F302="",NOT(ISNUMBER(D302))),"",ROUND(D302*F302,2))</f>
        <v/>
      </c>
      <c r="H302" s="26">
        <f>IF(AND(B302="",D302=""),"",IF(B302="","Falta a data",IF(IFERROR(YEAR(B302),0)&lt;&gt;2026,"Use uma data de 2026",IF(D302="","Falta o valor",IF(NOT(ISNUMBER(D302)),"O valor precisa ser um número",IF(F302="","Falta a cotação deste mês (aba Cotações)",""))))))</f>
        <v/>
      </c>
    </row>
    <row r="303" spans="2:8">
      <c r="B303" s="20"/>
      <c r="C303" s="21"/>
      <c r="D303" s="22"/>
      <c r="E303" s="23">
        <f>IFERROR(IF(B303="","",IF(YEAR(B303)&lt;&gt;2026,"",MONTH(B303))),"")</f>
        <v/>
      </c>
      <c r="F303" s="24">
        <f>IF(E303="","",IF(INDEX('Cotações'!$E$6:$E$17,E303)="","",INDEX('Cotações'!$E$6:$E$17,E303)))</f>
        <v/>
      </c>
      <c r="G303" s="25">
        <f>IF(OR(F303="",NOT(ISNUMBER(D303))),"",ROUND(D303*F303,2))</f>
        <v/>
      </c>
      <c r="H303" s="26">
        <f>IF(AND(B303="",D303=""),"",IF(B303="","Falta a data",IF(IFERROR(YEAR(B303),0)&lt;&gt;2026,"Use uma data de 2026",IF(D303="","Falta o valor",IF(NOT(ISNUMBER(D303)),"O valor precisa ser um número",IF(F303="","Falta a cotação deste mês (aba Cotações)",""))))))</f>
        <v/>
      </c>
    </row>
    <row r="304" spans="2:8">
      <c r="B304" s="20"/>
      <c r="C304" s="21"/>
      <c r="D304" s="22"/>
      <c r="E304" s="23">
        <f>IFERROR(IF(B304="","",IF(YEAR(B304)&lt;&gt;2026,"",MONTH(B304))),"")</f>
        <v/>
      </c>
      <c r="F304" s="24">
        <f>IF(E304="","",IF(INDEX('Cotações'!$E$6:$E$17,E304)="","",INDEX('Cotações'!$E$6:$E$17,E304)))</f>
        <v/>
      </c>
      <c r="G304" s="25">
        <f>IF(OR(F304="",NOT(ISNUMBER(D304))),"",ROUND(D304*F304,2))</f>
        <v/>
      </c>
      <c r="H304" s="26">
        <f>IF(AND(B304="",D304=""),"",IF(B304="","Falta a data",IF(IFERROR(YEAR(B304),0)&lt;&gt;2026,"Use uma data de 2026",IF(D304="","Falta o valor",IF(NOT(ISNUMBER(D304)),"O valor precisa ser um número",IF(F304="","Falta a cotação deste mês (aba Cotações)",""))))))</f>
        <v/>
      </c>
    </row>
    <row r="305" spans="2:8">
      <c r="B305" s="20"/>
      <c r="C305" s="21"/>
      <c r="D305" s="22"/>
      <c r="E305" s="23">
        <f>IFERROR(IF(B305="","",IF(YEAR(B305)&lt;&gt;2026,"",MONTH(B305))),"")</f>
        <v/>
      </c>
      <c r="F305" s="24">
        <f>IF(E305="","",IF(INDEX('Cotações'!$E$6:$E$17,E305)="","",INDEX('Cotações'!$E$6:$E$17,E305)))</f>
        <v/>
      </c>
      <c r="G305" s="25">
        <f>IF(OR(F305="",NOT(ISNUMBER(D305))),"",ROUND(D305*F305,2))</f>
        <v/>
      </c>
      <c r="H305" s="26">
        <f>IF(AND(B305="",D305=""),"",IF(B305="","Falta a data",IF(IFERROR(YEAR(B305),0)&lt;&gt;2026,"Use uma data de 2026",IF(D305="","Falta o valor",IF(NOT(ISNUMBER(D305)),"O valor precisa ser um número",IF(F305="","Falta a cotação deste mês (aba Cotações)",""))))))</f>
        <v/>
      </c>
    </row>
    <row r="306" spans="2:8">
      <c r="B306" s="20"/>
      <c r="C306" s="21"/>
      <c r="D306" s="22"/>
      <c r="E306" s="23">
        <f>IFERROR(IF(B306="","",IF(YEAR(B306)&lt;&gt;2026,"",MONTH(B306))),"")</f>
        <v/>
      </c>
      <c r="F306" s="24">
        <f>IF(E306="","",IF(INDEX('Cotações'!$E$6:$E$17,E306)="","",INDEX('Cotações'!$E$6:$E$17,E306)))</f>
        <v/>
      </c>
      <c r="G306" s="25">
        <f>IF(OR(F306="",NOT(ISNUMBER(D306))),"",ROUND(D306*F306,2))</f>
        <v/>
      </c>
      <c r="H306" s="26">
        <f>IF(AND(B306="",D306=""),"",IF(B306="","Falta a data",IF(IFERROR(YEAR(B306),0)&lt;&gt;2026,"Use uma data de 2026",IF(D306="","Falta o valor",IF(NOT(ISNUMBER(D306)),"O valor precisa ser um número",IF(F306="","Falta a cotação deste mês (aba Cotações)",""))))))</f>
        <v/>
      </c>
    </row>
  </sheetData>
  <sheetProtection sheet="1" objects="1" scenarios="1" formatColumns="0" formatRows="0"/>
  <dataValidations count="2">
    <dataValidation type="date" allowBlank="1" showInputMessage="1" showErrorMessage="1" errorTitle="Data inválida" error="Use uma data de 2026, no formato dd/mm/aaaa." promptTitle="Data do recebimento" prompt="Dia em que o dinheiro foi creditado a você. Ex.: 05/01/2026" sqref="B7:B306">
      <formula1>46023</formula1>
      <formula2>46387</formula2>
    </dataValidation>
    <dataValidation type="decimal" operator="greaterThanOrEqual" allowBlank="1" showInputMessage="1" showErrorMessage="1" errorTitle="Valor inválido" error="Digite só o número, em dólares. Ex.: 480,00" promptTitle="Valor bruto (US$)" prompt="Valor pago pela plataforma, antes das taxas. Ex.: 480,00" sqref="D7:D306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3201B"/>
    <pageSetUpPr fitToPage="1"/>
  </sheetPr>
  <dimension ref="B2:M2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5.7109375" customWidth="1"/>
    <col min="3" max="3" width="12.7109375" customWidth="1"/>
    <col min="4" max="11" width="15.7109375" customWidth="1"/>
    <col min="12" max="12" width="13.7109375" customWidth="1"/>
    <col min="13" max="13" width="40.7109375" customWidth="1"/>
  </cols>
  <sheetData>
    <row r="2" spans="2:13">
      <c r="B2" s="10" t="s">
        <v>39</v>
      </c>
    </row>
    <row r="3" spans="2:13">
      <c r="B3" s="2" t="s">
        <v>40</v>
      </c>
    </row>
    <row r="5" spans="2:13" ht="42" customHeight="1">
      <c r="B5" s="13" t="s">
        <v>41</v>
      </c>
      <c r="C5" s="13" t="s">
        <v>33</v>
      </c>
      <c r="D5" s="13" t="s">
        <v>42</v>
      </c>
      <c r="E5" s="13" t="s">
        <v>43</v>
      </c>
      <c r="F5" s="13" t="s">
        <v>44</v>
      </c>
      <c r="G5" s="13" t="s">
        <v>45</v>
      </c>
      <c r="H5" s="13" t="s">
        <v>46</v>
      </c>
      <c r="I5" s="13" t="s">
        <v>47</v>
      </c>
      <c r="J5" s="13" t="s">
        <v>48</v>
      </c>
      <c r="K5" s="13" t="s">
        <v>49</v>
      </c>
      <c r="L5" s="13" t="s">
        <v>50</v>
      </c>
      <c r="M5" s="13" t="s">
        <v>51</v>
      </c>
    </row>
    <row r="6" spans="2:13">
      <c r="B6" s="23">
        <v>1</v>
      </c>
      <c r="C6" s="6" t="s">
        <v>52</v>
      </c>
      <c r="D6" s="25">
        <f>SUMIFS('Pagamentos'!$G$7:$G$306,'Pagamentos'!$E$7:$E$306,$B6)</f>
        <v>0</v>
      </c>
      <c r="E6" s="25">
        <f>IF(D6=0,0,'Deduções'!J6)</f>
        <v>0.0</v>
      </c>
      <c r="F6" s="25">
        <f>MAX(0,D6-E6)</f>
        <v>0.0</v>
      </c>
      <c r="G6" s="25">
        <f>MAX(0,ROUND(F6*INDEX('Tabelas'!$D$6:$D$10,MATCH(F6,'Tabelas'!$B$6:$B$10,1))-INDEX('Tabelas'!$E$6:$E$10,MATCH(F6,'Tabelas'!$B$6:$B$10,1)),2))</f>
        <v>0.0</v>
      </c>
      <c r="H6" s="25">
        <f>IF(D6&lt;=0,0,IF(D6&lt;='Tabelas'!$C$19,MIN(G6,'Tabelas'!$C$20),IF(D6&lt;='Tabelas'!$C$21,MIN(G6,MAX(0,ROUND('Tabelas'!$C$22-'Tabelas'!$C$23*D6,2))),0)))</f>
        <v>0.0</v>
      </c>
      <c r="I6" s="25">
        <f>ROUND(G6-H6,2)</f>
        <v>0.0</v>
      </c>
      <c r="J6" s="25">
        <v>0</v>
      </c>
      <c r="K6" s="27">
        <f>IF(I6+J6&gt;='Tabelas'!$C$27,ROUND(I6+J6,2),0)</f>
        <v>0.0</v>
      </c>
      <c r="L6" s="28">
        <f>WORKDAY(EOMONTH(DATE(2026,B6,1),1)+1,-1,'Tabelas'!$B$32:$B$46)</f>
        <v>46080</v>
      </c>
      <c r="M6" s="29" t="str">
        <f>IF(K6&gt;0,"Pagar DARF (código 0190) até o vencimento",IF(I6+J6&gt;0,"Menos de R$ 10: soma no mês seguinte",IF(D6=0,"Sem rendimentos lançados","Isento neste mês")))</f>
        <v>Sem rendimentos lançados</v>
      </c>
    </row>
    <row r="7" spans="2:13">
      <c r="B7" s="23">
        <v>2</v>
      </c>
      <c r="C7" s="6" t="s">
        <v>53</v>
      </c>
      <c r="D7" s="25">
        <f>SUMIFS('Pagamentos'!$G$7:$G$306,'Pagamentos'!$E$7:$E$306,$B7)</f>
        <v>0</v>
      </c>
      <c r="E7" s="25">
        <f>IF(D7=0,0,'Deduções'!J7)</f>
        <v>0.0</v>
      </c>
      <c r="F7" s="25">
        <f>MAX(0,D7-E7)</f>
        <v>0.0</v>
      </c>
      <c r="G7" s="25">
        <f>MAX(0,ROUND(F7*INDEX('Tabelas'!$D$6:$D$10,MATCH(F7,'Tabelas'!$B$6:$B$10,1))-INDEX('Tabelas'!$E$6:$E$10,MATCH(F7,'Tabelas'!$B$6:$B$10,1)),2))</f>
        <v>0.0</v>
      </c>
      <c r="H7" s="25">
        <f>IF(D7&lt;=0,0,IF(D7&lt;='Tabelas'!$C$19,MIN(G7,'Tabelas'!$C$20),IF(D7&lt;='Tabelas'!$C$21,MIN(G7,MAX(0,ROUND('Tabelas'!$C$22-'Tabelas'!$C$23*D7,2))),0)))</f>
        <v>0.0</v>
      </c>
      <c r="I7" s="25">
        <f>ROUND(G7-H7,2)</f>
        <v>0.0</v>
      </c>
      <c r="J7" s="25">
        <f>IF(K6=0,ROUND(I6+J6,2),0)</f>
        <v>0.0</v>
      </c>
      <c r="K7" s="27">
        <f>IF(I7+J7&gt;='Tabelas'!$C$27,ROUND(I7+J7,2),0)</f>
        <v>0.0</v>
      </c>
      <c r="L7" s="28">
        <f>WORKDAY(EOMONTH(DATE(2026,B7,1),1)+1,-1,'Tabelas'!$B$32:$B$46)</f>
        <v>46112</v>
      </c>
      <c r="M7" s="29" t="str">
        <f>IF(K7&gt;0,"Pagar DARF (código 0190) até o vencimento",IF(I7+J7&gt;0,"Menos de R$ 10: soma no mês seguinte",IF(D7=0,"Sem rendimentos lançados","Isento neste mês")))</f>
        <v>Sem rendimentos lançados</v>
      </c>
    </row>
    <row r="8" spans="2:13">
      <c r="B8" s="23">
        <v>3</v>
      </c>
      <c r="C8" s="6" t="s">
        <v>54</v>
      </c>
      <c r="D8" s="25">
        <f>SUMIFS('Pagamentos'!$G$7:$G$306,'Pagamentos'!$E$7:$E$306,$B8)</f>
        <v>0</v>
      </c>
      <c r="E8" s="25">
        <f>IF(D8=0,0,'Deduções'!J8)</f>
        <v>0.0</v>
      </c>
      <c r="F8" s="25">
        <f>MAX(0,D8-E8)</f>
        <v>0.0</v>
      </c>
      <c r="G8" s="25">
        <f>MAX(0,ROUND(F8*INDEX('Tabelas'!$D$6:$D$10,MATCH(F8,'Tabelas'!$B$6:$B$10,1))-INDEX('Tabelas'!$E$6:$E$10,MATCH(F8,'Tabelas'!$B$6:$B$10,1)),2))</f>
        <v>0.0</v>
      </c>
      <c r="H8" s="25">
        <f>IF(D8&lt;=0,0,IF(D8&lt;='Tabelas'!$C$19,MIN(G8,'Tabelas'!$C$20),IF(D8&lt;='Tabelas'!$C$21,MIN(G8,MAX(0,ROUND('Tabelas'!$C$22-'Tabelas'!$C$23*D8,2))),0)))</f>
        <v>0.0</v>
      </c>
      <c r="I8" s="25">
        <f>ROUND(G8-H8,2)</f>
        <v>0.0</v>
      </c>
      <c r="J8" s="25">
        <f>IF(K7=0,ROUND(I7+J7,2),0)</f>
        <v>0.0</v>
      </c>
      <c r="K8" s="27">
        <f>IF(I8+J8&gt;='Tabelas'!$C$27,ROUND(I8+J8,2),0)</f>
        <v>0.0</v>
      </c>
      <c r="L8" s="28">
        <f>WORKDAY(EOMONTH(DATE(2026,B8,1),1)+1,-1,'Tabelas'!$B$32:$B$46)</f>
        <v>46142</v>
      </c>
      <c r="M8" s="29" t="str">
        <f>IF(K8&gt;0,"Pagar DARF (código 0190) até o vencimento",IF(I8+J8&gt;0,"Menos de R$ 10: soma no mês seguinte",IF(D8=0,"Sem rendimentos lançados","Isento neste mês")))</f>
        <v>Sem rendimentos lançados</v>
      </c>
    </row>
    <row r="9" spans="2:13">
      <c r="B9" s="23">
        <v>4</v>
      </c>
      <c r="C9" s="6" t="s">
        <v>55</v>
      </c>
      <c r="D9" s="25">
        <f>SUMIFS('Pagamentos'!$G$7:$G$306,'Pagamentos'!$E$7:$E$306,$B9)</f>
        <v>0</v>
      </c>
      <c r="E9" s="25">
        <f>IF(D9=0,0,'Deduções'!J9)</f>
        <v>0.0</v>
      </c>
      <c r="F9" s="25">
        <f>MAX(0,D9-E9)</f>
        <v>0.0</v>
      </c>
      <c r="G9" s="25">
        <f>MAX(0,ROUND(F9*INDEX('Tabelas'!$D$6:$D$10,MATCH(F9,'Tabelas'!$B$6:$B$10,1))-INDEX('Tabelas'!$E$6:$E$10,MATCH(F9,'Tabelas'!$B$6:$B$10,1)),2))</f>
        <v>0.0</v>
      </c>
      <c r="H9" s="25">
        <f>IF(D9&lt;=0,0,IF(D9&lt;='Tabelas'!$C$19,MIN(G9,'Tabelas'!$C$20),IF(D9&lt;='Tabelas'!$C$21,MIN(G9,MAX(0,ROUND('Tabelas'!$C$22-'Tabelas'!$C$23*D9,2))),0)))</f>
        <v>0.0</v>
      </c>
      <c r="I9" s="25">
        <f>ROUND(G9-H9,2)</f>
        <v>0.0</v>
      </c>
      <c r="J9" s="25">
        <f>IF(K8=0,ROUND(I8+J8,2),0)</f>
        <v>0.0</v>
      </c>
      <c r="K9" s="27">
        <f>IF(I9+J9&gt;='Tabelas'!$C$27,ROUND(I9+J9,2),0)</f>
        <v>0.0</v>
      </c>
      <c r="L9" s="28">
        <f>WORKDAY(EOMONTH(DATE(2026,B9,1),1)+1,-1,'Tabelas'!$B$32:$B$46)</f>
        <v>46171</v>
      </c>
      <c r="M9" s="29" t="str">
        <f>IF(K9&gt;0,"Pagar DARF (código 0190) até o vencimento",IF(I9+J9&gt;0,"Menos de R$ 10: soma no mês seguinte",IF(D9=0,"Sem rendimentos lançados","Isento neste mês")))</f>
        <v>Sem rendimentos lançados</v>
      </c>
    </row>
    <row r="10" spans="2:13">
      <c r="B10" s="23">
        <v>5</v>
      </c>
      <c r="C10" s="6" t="s">
        <v>56</v>
      </c>
      <c r="D10" s="25">
        <f>SUMIFS('Pagamentos'!$G$7:$G$306,'Pagamentos'!$E$7:$E$306,$B10)</f>
        <v>0</v>
      </c>
      <c r="E10" s="25">
        <f>IF(D10=0,0,'Deduções'!J10)</f>
        <v>0.0</v>
      </c>
      <c r="F10" s="25">
        <f>MAX(0,D10-E10)</f>
        <v>0.0</v>
      </c>
      <c r="G10" s="25">
        <f>MAX(0,ROUND(F10*INDEX('Tabelas'!$D$6:$D$10,MATCH(F10,'Tabelas'!$B$6:$B$10,1))-INDEX('Tabelas'!$E$6:$E$10,MATCH(F10,'Tabelas'!$B$6:$B$10,1)),2))</f>
        <v>0.0</v>
      </c>
      <c r="H10" s="25">
        <f>IF(D10&lt;=0,0,IF(D10&lt;='Tabelas'!$C$19,MIN(G10,'Tabelas'!$C$20),IF(D10&lt;='Tabelas'!$C$21,MIN(G10,MAX(0,ROUND('Tabelas'!$C$22-'Tabelas'!$C$23*D10,2))),0)))</f>
        <v>0.0</v>
      </c>
      <c r="I10" s="25">
        <f>ROUND(G10-H10,2)</f>
        <v>0.0</v>
      </c>
      <c r="J10" s="25">
        <f>IF(K9=0,ROUND(I9+J9,2),0)</f>
        <v>0.0</v>
      </c>
      <c r="K10" s="27">
        <f>IF(I10+J10&gt;='Tabelas'!$C$27,ROUND(I10+J10,2),0)</f>
        <v>0.0</v>
      </c>
      <c r="L10" s="28">
        <f>WORKDAY(EOMONTH(DATE(2026,B10,1),1)+1,-1,'Tabelas'!$B$32:$B$46)</f>
        <v>46203</v>
      </c>
      <c r="M10" s="29" t="str">
        <f>IF(K10&gt;0,"Pagar DARF (código 0190) até o vencimento",IF(I10+J10&gt;0,"Menos de R$ 10: soma no mês seguinte",IF(D10=0,"Sem rendimentos lançados","Isento neste mês")))</f>
        <v>Sem rendimentos lançados</v>
      </c>
    </row>
    <row r="11" spans="2:13">
      <c r="B11" s="23">
        <v>6</v>
      </c>
      <c r="C11" s="6" t="s">
        <v>57</v>
      </c>
      <c r="D11" s="25">
        <f>SUMIFS('Pagamentos'!$G$7:$G$306,'Pagamentos'!$E$7:$E$306,$B11)</f>
        <v>0</v>
      </c>
      <c r="E11" s="25">
        <f>IF(D11=0,0,'Deduções'!J11)</f>
        <v>0.0</v>
      </c>
      <c r="F11" s="25">
        <f>MAX(0,D11-E11)</f>
        <v>0.0</v>
      </c>
      <c r="G11" s="25">
        <f>MAX(0,ROUND(F11*INDEX('Tabelas'!$D$6:$D$10,MATCH(F11,'Tabelas'!$B$6:$B$10,1))-INDEX('Tabelas'!$E$6:$E$10,MATCH(F11,'Tabelas'!$B$6:$B$10,1)),2))</f>
        <v>0.0</v>
      </c>
      <c r="H11" s="25">
        <f>IF(D11&lt;=0,0,IF(D11&lt;='Tabelas'!$C$19,MIN(G11,'Tabelas'!$C$20),IF(D11&lt;='Tabelas'!$C$21,MIN(G11,MAX(0,ROUND('Tabelas'!$C$22-'Tabelas'!$C$23*D11,2))),0)))</f>
        <v>0.0</v>
      </c>
      <c r="I11" s="25">
        <f>ROUND(G11-H11,2)</f>
        <v>0.0</v>
      </c>
      <c r="J11" s="25">
        <f>IF(K10=0,ROUND(I10+J10,2),0)</f>
        <v>0.0</v>
      </c>
      <c r="K11" s="27">
        <f>IF(I11+J11&gt;='Tabelas'!$C$27,ROUND(I11+J11,2),0)</f>
        <v>0.0</v>
      </c>
      <c r="L11" s="28">
        <f>WORKDAY(EOMONTH(DATE(2026,B11,1),1)+1,-1,'Tabelas'!$B$32:$B$46)</f>
        <v>46234</v>
      </c>
      <c r="M11" s="29" t="str">
        <f>IF(K11&gt;0,"Pagar DARF (código 0190) até o vencimento",IF(I11+J11&gt;0,"Menos de R$ 10: soma no mês seguinte",IF(D11=0,"Sem rendimentos lançados","Isento neste mês")))</f>
        <v>Sem rendimentos lançados</v>
      </c>
    </row>
    <row r="12" spans="2:13">
      <c r="B12" s="23">
        <v>7</v>
      </c>
      <c r="C12" s="6" t="s">
        <v>58</v>
      </c>
      <c r="D12" s="25">
        <f>SUMIFS('Pagamentos'!$G$7:$G$306,'Pagamentos'!$E$7:$E$306,$B12)</f>
        <v>0</v>
      </c>
      <c r="E12" s="25">
        <f>IF(D12=0,0,'Deduções'!J12)</f>
        <v>0.0</v>
      </c>
      <c r="F12" s="25">
        <f>MAX(0,D12-E12)</f>
        <v>0.0</v>
      </c>
      <c r="G12" s="25">
        <f>MAX(0,ROUND(F12*INDEX('Tabelas'!$D$6:$D$10,MATCH(F12,'Tabelas'!$B$6:$B$10,1))-INDEX('Tabelas'!$E$6:$E$10,MATCH(F12,'Tabelas'!$B$6:$B$10,1)),2))</f>
        <v>0.0</v>
      </c>
      <c r="H12" s="25">
        <f>IF(D12&lt;=0,0,IF(D12&lt;='Tabelas'!$C$19,MIN(G12,'Tabelas'!$C$20),IF(D12&lt;='Tabelas'!$C$21,MIN(G12,MAX(0,ROUND('Tabelas'!$C$22-'Tabelas'!$C$23*D12,2))),0)))</f>
        <v>0.0</v>
      </c>
      <c r="I12" s="25">
        <f>ROUND(G12-H12,2)</f>
        <v>0.0</v>
      </c>
      <c r="J12" s="25">
        <f>IF(K11=0,ROUND(I11+J11,2),0)</f>
        <v>0.0</v>
      </c>
      <c r="K12" s="27">
        <f>IF(I12+J12&gt;='Tabelas'!$C$27,ROUND(I12+J12,2),0)</f>
        <v>0.0</v>
      </c>
      <c r="L12" s="28">
        <f>WORKDAY(EOMONTH(DATE(2026,B12,1),1)+1,-1,'Tabelas'!$B$32:$B$46)</f>
        <v>46265</v>
      </c>
      <c r="M12" s="29" t="str">
        <f>IF(K12&gt;0,"Pagar DARF (código 0190) até o vencimento",IF(I12+J12&gt;0,"Menos de R$ 10: soma no mês seguinte",IF(D12=0,"Sem rendimentos lançados","Isento neste mês")))</f>
        <v>Sem rendimentos lançados</v>
      </c>
    </row>
    <row r="13" spans="2:13">
      <c r="B13" s="23">
        <v>8</v>
      </c>
      <c r="C13" s="6" t="s">
        <v>59</v>
      </c>
      <c r="D13" s="25">
        <f>SUMIFS('Pagamentos'!$G$7:$G$306,'Pagamentos'!$E$7:$E$306,$B13)</f>
        <v>0</v>
      </c>
      <c r="E13" s="25">
        <f>IF(D13=0,0,'Deduções'!J13)</f>
        <v>0.0</v>
      </c>
      <c r="F13" s="25">
        <f>MAX(0,D13-E13)</f>
        <v>0.0</v>
      </c>
      <c r="G13" s="25">
        <f>MAX(0,ROUND(F13*INDEX('Tabelas'!$D$6:$D$10,MATCH(F13,'Tabelas'!$B$6:$B$10,1))-INDEX('Tabelas'!$E$6:$E$10,MATCH(F13,'Tabelas'!$B$6:$B$10,1)),2))</f>
        <v>0.0</v>
      </c>
      <c r="H13" s="25">
        <f>IF(D13&lt;=0,0,IF(D13&lt;='Tabelas'!$C$19,MIN(G13,'Tabelas'!$C$20),IF(D13&lt;='Tabelas'!$C$21,MIN(G13,MAX(0,ROUND('Tabelas'!$C$22-'Tabelas'!$C$23*D13,2))),0)))</f>
        <v>0.0</v>
      </c>
      <c r="I13" s="25">
        <f>ROUND(G13-H13,2)</f>
        <v>0.0</v>
      </c>
      <c r="J13" s="25">
        <f>IF(K12=0,ROUND(I12+J12,2),0)</f>
        <v>0.0</v>
      </c>
      <c r="K13" s="27">
        <f>IF(I13+J13&gt;='Tabelas'!$C$27,ROUND(I13+J13,2),0)</f>
        <v>0.0</v>
      </c>
      <c r="L13" s="28">
        <f>WORKDAY(EOMONTH(DATE(2026,B13,1),1)+1,-1,'Tabelas'!$B$32:$B$46)</f>
        <v>46295</v>
      </c>
      <c r="M13" s="29" t="str">
        <f>IF(K13&gt;0,"Pagar DARF (código 0190) até o vencimento",IF(I13+J13&gt;0,"Menos de R$ 10: soma no mês seguinte",IF(D13=0,"Sem rendimentos lançados","Isento neste mês")))</f>
        <v>Sem rendimentos lançados</v>
      </c>
    </row>
    <row r="14" spans="2:13">
      <c r="B14" s="23">
        <v>9</v>
      </c>
      <c r="C14" s="6" t="s">
        <v>60</v>
      </c>
      <c r="D14" s="25">
        <f>SUMIFS('Pagamentos'!$G$7:$G$306,'Pagamentos'!$E$7:$E$306,$B14)</f>
        <v>0</v>
      </c>
      <c r="E14" s="25">
        <f>IF(D14=0,0,'Deduções'!J14)</f>
        <v>0.0</v>
      </c>
      <c r="F14" s="25">
        <f>MAX(0,D14-E14)</f>
        <v>0.0</v>
      </c>
      <c r="G14" s="25">
        <f>MAX(0,ROUND(F14*INDEX('Tabelas'!$D$6:$D$10,MATCH(F14,'Tabelas'!$B$6:$B$10,1))-INDEX('Tabelas'!$E$6:$E$10,MATCH(F14,'Tabelas'!$B$6:$B$10,1)),2))</f>
        <v>0.0</v>
      </c>
      <c r="H14" s="25">
        <f>IF(D14&lt;=0,0,IF(D14&lt;='Tabelas'!$C$19,MIN(G14,'Tabelas'!$C$20),IF(D14&lt;='Tabelas'!$C$21,MIN(G14,MAX(0,ROUND('Tabelas'!$C$22-'Tabelas'!$C$23*D14,2))),0)))</f>
        <v>0.0</v>
      </c>
      <c r="I14" s="25">
        <f>ROUND(G14-H14,2)</f>
        <v>0.0</v>
      </c>
      <c r="J14" s="25">
        <f>IF(K13=0,ROUND(I13+J13,2),0)</f>
        <v>0.0</v>
      </c>
      <c r="K14" s="27">
        <f>IF(I14+J14&gt;='Tabelas'!$C$27,ROUND(I14+J14,2),0)</f>
        <v>0.0</v>
      </c>
      <c r="L14" s="28">
        <f>WORKDAY(EOMONTH(DATE(2026,B14,1),1)+1,-1,'Tabelas'!$B$32:$B$46)</f>
        <v>46325</v>
      </c>
      <c r="M14" s="29" t="str">
        <f>IF(K14&gt;0,"Pagar DARF (código 0190) até o vencimento",IF(I14+J14&gt;0,"Menos de R$ 10: soma no mês seguinte",IF(D14=0,"Sem rendimentos lançados","Isento neste mês")))</f>
        <v>Sem rendimentos lançados</v>
      </c>
    </row>
    <row r="15" spans="2:13">
      <c r="B15" s="23">
        <v>10</v>
      </c>
      <c r="C15" s="6" t="s">
        <v>61</v>
      </c>
      <c r="D15" s="25">
        <f>SUMIFS('Pagamentos'!$G$7:$G$306,'Pagamentos'!$E$7:$E$306,$B15)</f>
        <v>0</v>
      </c>
      <c r="E15" s="25">
        <f>IF(D15=0,0,'Deduções'!J15)</f>
        <v>0.0</v>
      </c>
      <c r="F15" s="25">
        <f>MAX(0,D15-E15)</f>
        <v>0.0</v>
      </c>
      <c r="G15" s="25">
        <f>MAX(0,ROUND(F15*INDEX('Tabelas'!$D$6:$D$10,MATCH(F15,'Tabelas'!$B$6:$B$10,1))-INDEX('Tabelas'!$E$6:$E$10,MATCH(F15,'Tabelas'!$B$6:$B$10,1)),2))</f>
        <v>0.0</v>
      </c>
      <c r="H15" s="25">
        <f>IF(D15&lt;=0,0,IF(D15&lt;='Tabelas'!$C$19,MIN(G15,'Tabelas'!$C$20),IF(D15&lt;='Tabelas'!$C$21,MIN(G15,MAX(0,ROUND('Tabelas'!$C$22-'Tabelas'!$C$23*D15,2))),0)))</f>
        <v>0.0</v>
      </c>
      <c r="I15" s="25">
        <f>ROUND(G15-H15,2)</f>
        <v>0.0</v>
      </c>
      <c r="J15" s="25">
        <f>IF(K14=0,ROUND(I14+J14,2),0)</f>
        <v>0.0</v>
      </c>
      <c r="K15" s="27">
        <f>IF(I15+J15&gt;='Tabelas'!$C$27,ROUND(I15+J15,2),0)</f>
        <v>0.0</v>
      </c>
      <c r="L15" s="28">
        <f>WORKDAY(EOMONTH(DATE(2026,B15,1),1)+1,-1,'Tabelas'!$B$32:$B$46)</f>
        <v>46356</v>
      </c>
      <c r="M15" s="29" t="str">
        <f>IF(K15&gt;0,"Pagar DARF (código 0190) até o vencimento",IF(I15+J15&gt;0,"Menos de R$ 10: soma no mês seguinte",IF(D15=0,"Sem rendimentos lançados","Isento neste mês")))</f>
        <v>Sem rendimentos lançados</v>
      </c>
    </row>
    <row r="16" spans="2:13">
      <c r="B16" s="23">
        <v>11</v>
      </c>
      <c r="C16" s="6" t="s">
        <v>62</v>
      </c>
      <c r="D16" s="25">
        <f>SUMIFS('Pagamentos'!$G$7:$G$306,'Pagamentos'!$E$7:$E$306,$B16)</f>
        <v>0</v>
      </c>
      <c r="E16" s="25">
        <f>IF(D16=0,0,'Deduções'!J16)</f>
        <v>0.0</v>
      </c>
      <c r="F16" s="25">
        <f>MAX(0,D16-E16)</f>
        <v>0.0</v>
      </c>
      <c r="G16" s="25">
        <f>MAX(0,ROUND(F16*INDEX('Tabelas'!$D$6:$D$10,MATCH(F16,'Tabelas'!$B$6:$B$10,1))-INDEX('Tabelas'!$E$6:$E$10,MATCH(F16,'Tabelas'!$B$6:$B$10,1)),2))</f>
        <v>0.0</v>
      </c>
      <c r="H16" s="25">
        <f>IF(D16&lt;=0,0,IF(D16&lt;='Tabelas'!$C$19,MIN(G16,'Tabelas'!$C$20),IF(D16&lt;='Tabelas'!$C$21,MIN(G16,MAX(0,ROUND('Tabelas'!$C$22-'Tabelas'!$C$23*D16,2))),0)))</f>
        <v>0.0</v>
      </c>
      <c r="I16" s="25">
        <f>ROUND(G16-H16,2)</f>
        <v>0.0</v>
      </c>
      <c r="J16" s="25">
        <f>IF(K15=0,ROUND(I15+J15,2),0)</f>
        <v>0.0</v>
      </c>
      <c r="K16" s="27">
        <f>IF(I16+J16&gt;='Tabelas'!$C$27,ROUND(I16+J16,2),0)</f>
        <v>0.0</v>
      </c>
      <c r="L16" s="28">
        <f>WORKDAY(EOMONTH(DATE(2026,B16,1),1)+1,-1,'Tabelas'!$B$32:$B$46)</f>
        <v>46386</v>
      </c>
      <c r="M16" s="29" t="str">
        <f>IF(K16&gt;0,"Pagar DARF (código 0190) até o vencimento",IF(I16+J16&gt;0,"Menos de R$ 10: soma no mês seguinte",IF(D16=0,"Sem rendimentos lançados","Isento neste mês")))</f>
        <v>Sem rendimentos lançados</v>
      </c>
    </row>
    <row r="17" spans="2:13">
      <c r="B17" s="23">
        <v>12</v>
      </c>
      <c r="C17" s="6" t="s">
        <v>63</v>
      </c>
      <c r="D17" s="25">
        <f>SUMIFS('Pagamentos'!$G$7:$G$306,'Pagamentos'!$E$7:$E$306,$B17)</f>
        <v>0</v>
      </c>
      <c r="E17" s="25">
        <f>IF(D17=0,0,'Deduções'!J17)</f>
        <v>0.0</v>
      </c>
      <c r="F17" s="25">
        <f>MAX(0,D17-E17)</f>
        <v>0.0</v>
      </c>
      <c r="G17" s="25">
        <f>MAX(0,ROUND(F17*INDEX('Tabelas'!$D$6:$D$10,MATCH(F17,'Tabelas'!$B$6:$B$10,1))-INDEX('Tabelas'!$E$6:$E$10,MATCH(F17,'Tabelas'!$B$6:$B$10,1)),2))</f>
        <v>0.0</v>
      </c>
      <c r="H17" s="25">
        <f>IF(D17&lt;=0,0,IF(D17&lt;='Tabelas'!$C$19,MIN(G17,'Tabelas'!$C$20),IF(D17&lt;='Tabelas'!$C$21,MIN(G17,MAX(0,ROUND('Tabelas'!$C$22-'Tabelas'!$C$23*D17,2))),0)))</f>
        <v>0.0</v>
      </c>
      <c r="I17" s="25">
        <f>ROUND(G17-H17,2)</f>
        <v>0.0</v>
      </c>
      <c r="J17" s="25">
        <f>IF(K16=0,ROUND(I16+J16,2),0)</f>
        <v>0.0</v>
      </c>
      <c r="K17" s="27">
        <f>IF(I17+J17&gt;='Tabelas'!$C$27,ROUND(I17+J17,2),0)</f>
        <v>0.0</v>
      </c>
      <c r="L17" s="28">
        <f>WORKDAY(EOMONTH(DATE(2026,B17,1),1)+1,-1,'Tabelas'!$B$32:$B$46)</f>
        <v>46416</v>
      </c>
      <c r="M17" s="29" t="str">
        <f>IF(K17&gt;0,"Pagar DARF (código 0190) até o vencimento",IF(I17+J17&gt;0,"Menos de R$ 10: soma no mês seguinte",IF(D17=0,"Sem rendimentos lançados","Isento neste mês")))</f>
        <v>Sem rendimentos lançados</v>
      </c>
    </row>
    <row r="18" spans="2:13">
      <c r="B18" s="30"/>
      <c r="C18" s="30" t="s">
        <v>64</v>
      </c>
      <c r="D18" s="31">
        <f>SUM(D6:D17)</f>
        <v>0</v>
      </c>
      <c r="E18" s="32"/>
      <c r="F18" s="32"/>
      <c r="G18" s="32"/>
      <c r="H18" s="32"/>
      <c r="I18" s="31">
        <f>SUM(I6:I17)</f>
        <v>0.0</v>
      </c>
      <c r="J18" s="32"/>
      <c r="K18" s="31">
        <f>SUM(K6:K17)</f>
        <v>0.0</v>
      </c>
      <c r="L18" s="32"/>
      <c r="M18" s="32"/>
    </row>
    <row r="20" spans="2:13">
      <c r="B20" s="7" t="s">
        <v>65</v>
      </c>
    </row>
    <row r="21" spans="2:13">
      <c r="B21" s="7" t="s">
        <v>66</v>
      </c>
    </row>
    <row r="22" spans="2:13">
      <c r="B22" s="7" t="s">
        <v>67</v>
      </c>
    </row>
  </sheetData>
  <sheetProtection sheet="1" objects="1" scenarios="1" formatColumns="0" formatRows="0"/>
  <conditionalFormatting sqref="M6:M17">
    <cfRule type="beginsWith" dxfId="0" priority="1" operator="beginsWith" text="Pagar">
      <formula>LEFT(M6,5)="Pagar"</formula>
    </cfRule>
    <cfRule type="beginsWith" dxfId="1" priority="2" operator="beginsWith" text="Isento">
      <formula>LEFT(M6,6)="Isento"</formula>
    </cfRule>
  </conditionalFormatting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8A33D"/>
    <pageSetUpPr fitToPage="1"/>
  </sheetPr>
  <dimension ref="B2:K2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5.7109375" customWidth="1"/>
    <col min="3" max="3" width="12.7109375" customWidth="1"/>
    <col min="4" max="10" width="15.7109375" customWidth="1"/>
    <col min="11" max="11" width="22.7109375" customWidth="1"/>
  </cols>
  <sheetData>
    <row r="2" spans="2:11">
      <c r="B2" s="10" t="s">
        <v>68</v>
      </c>
    </row>
    <row r="3" spans="2:11">
      <c r="B3" s="2" t="s">
        <v>69</v>
      </c>
    </row>
    <row r="5" spans="2:11" ht="42" customHeight="1">
      <c r="B5" s="13" t="s">
        <v>41</v>
      </c>
      <c r="C5" s="13" t="s">
        <v>33</v>
      </c>
      <c r="D5" s="13" t="s">
        <v>70</v>
      </c>
      <c r="E5" s="13" t="s">
        <v>71</v>
      </c>
      <c r="F5" s="13" t="s">
        <v>72</v>
      </c>
      <c r="G5" s="13" t="s">
        <v>73</v>
      </c>
      <c r="H5" s="13" t="s">
        <v>74</v>
      </c>
      <c r="I5" s="13" t="s">
        <v>75</v>
      </c>
      <c r="J5" s="13" t="s">
        <v>76</v>
      </c>
      <c r="K5" s="13" t="s">
        <v>77</v>
      </c>
    </row>
    <row r="6" spans="2:11">
      <c r="B6" s="23">
        <v>1</v>
      </c>
      <c r="C6" s="6" t="s">
        <v>52</v>
      </c>
      <c r="D6" s="33"/>
      <c r="E6" s="34"/>
      <c r="F6" s="33"/>
      <c r="G6" s="33"/>
      <c r="H6" s="25">
        <f>D6+E6*'Tabelas'!$C$15+F6+G6</f>
        <v>0.0</v>
      </c>
      <c r="I6" s="25">
        <f>'Tabelas'!$C$14</f>
        <v>607.2</v>
      </c>
      <c r="J6" s="27">
        <f>MAX(H6,I6)</f>
        <v>607.2</v>
      </c>
      <c r="K6" s="29" t="str">
        <f>IF(H6&gt;I6,"Deduções legais","Desconto simplificado")</f>
        <v>Desconto simplificado</v>
      </c>
    </row>
    <row r="7" spans="2:11">
      <c r="B7" s="23">
        <v>2</v>
      </c>
      <c r="C7" s="6" t="s">
        <v>53</v>
      </c>
      <c r="D7" s="33"/>
      <c r="E7" s="34"/>
      <c r="F7" s="33"/>
      <c r="G7" s="33"/>
      <c r="H7" s="25">
        <f>D7+E7*'Tabelas'!$C$15+F7+G7</f>
        <v>0.0</v>
      </c>
      <c r="I7" s="25">
        <f>'Tabelas'!$C$14</f>
        <v>607.2</v>
      </c>
      <c r="J7" s="27">
        <f>MAX(H7,I7)</f>
        <v>607.2</v>
      </c>
      <c r="K7" s="29" t="str">
        <f>IF(H7&gt;I7,"Deduções legais","Desconto simplificado")</f>
        <v>Desconto simplificado</v>
      </c>
    </row>
    <row r="8" spans="2:11">
      <c r="B8" s="23">
        <v>3</v>
      </c>
      <c r="C8" s="6" t="s">
        <v>54</v>
      </c>
      <c r="D8" s="33"/>
      <c r="E8" s="34"/>
      <c r="F8" s="33"/>
      <c r="G8" s="33"/>
      <c r="H8" s="25">
        <f>D8+E8*'Tabelas'!$C$15+F8+G8</f>
        <v>0.0</v>
      </c>
      <c r="I8" s="25">
        <f>'Tabelas'!$C$14</f>
        <v>607.2</v>
      </c>
      <c r="J8" s="27">
        <f>MAX(H8,I8)</f>
        <v>607.2</v>
      </c>
      <c r="K8" s="29" t="str">
        <f>IF(H8&gt;I8,"Deduções legais","Desconto simplificado")</f>
        <v>Desconto simplificado</v>
      </c>
    </row>
    <row r="9" spans="2:11">
      <c r="B9" s="23">
        <v>4</v>
      </c>
      <c r="C9" s="6" t="s">
        <v>55</v>
      </c>
      <c r="D9" s="33"/>
      <c r="E9" s="34"/>
      <c r="F9" s="33"/>
      <c r="G9" s="33"/>
      <c r="H9" s="25">
        <f>D9+E9*'Tabelas'!$C$15+F9+G9</f>
        <v>0.0</v>
      </c>
      <c r="I9" s="25">
        <f>'Tabelas'!$C$14</f>
        <v>607.2</v>
      </c>
      <c r="J9" s="27">
        <f>MAX(H9,I9)</f>
        <v>607.2</v>
      </c>
      <c r="K9" s="29" t="str">
        <f>IF(H9&gt;I9,"Deduções legais","Desconto simplificado")</f>
        <v>Desconto simplificado</v>
      </c>
    </row>
    <row r="10" spans="2:11">
      <c r="B10" s="23">
        <v>5</v>
      </c>
      <c r="C10" s="6" t="s">
        <v>56</v>
      </c>
      <c r="D10" s="33"/>
      <c r="E10" s="34"/>
      <c r="F10" s="33"/>
      <c r="G10" s="33"/>
      <c r="H10" s="25">
        <f>D10+E10*'Tabelas'!$C$15+F10+G10</f>
        <v>0.0</v>
      </c>
      <c r="I10" s="25">
        <f>'Tabelas'!$C$14</f>
        <v>607.2</v>
      </c>
      <c r="J10" s="27">
        <f>MAX(H10,I10)</f>
        <v>607.2</v>
      </c>
      <c r="K10" s="29" t="str">
        <f>IF(H10&gt;I10,"Deduções legais","Desconto simplificado")</f>
        <v>Desconto simplificado</v>
      </c>
    </row>
    <row r="11" spans="2:11">
      <c r="B11" s="23">
        <v>6</v>
      </c>
      <c r="C11" s="6" t="s">
        <v>57</v>
      </c>
      <c r="D11" s="33"/>
      <c r="E11" s="34"/>
      <c r="F11" s="33"/>
      <c r="G11" s="33"/>
      <c r="H11" s="25">
        <f>D11+E11*'Tabelas'!$C$15+F11+G11</f>
        <v>0.0</v>
      </c>
      <c r="I11" s="25">
        <f>'Tabelas'!$C$14</f>
        <v>607.2</v>
      </c>
      <c r="J11" s="27">
        <f>MAX(H11,I11)</f>
        <v>607.2</v>
      </c>
      <c r="K11" s="29" t="str">
        <f>IF(H11&gt;I11,"Deduções legais","Desconto simplificado")</f>
        <v>Desconto simplificado</v>
      </c>
    </row>
    <row r="12" spans="2:11">
      <c r="B12" s="23">
        <v>7</v>
      </c>
      <c r="C12" s="6" t="s">
        <v>58</v>
      </c>
      <c r="D12" s="33"/>
      <c r="E12" s="34"/>
      <c r="F12" s="33"/>
      <c r="G12" s="33"/>
      <c r="H12" s="25">
        <f>D12+E12*'Tabelas'!$C$15+F12+G12</f>
        <v>0.0</v>
      </c>
      <c r="I12" s="25">
        <f>'Tabelas'!$C$14</f>
        <v>607.2</v>
      </c>
      <c r="J12" s="27">
        <f>MAX(H12,I12)</f>
        <v>607.2</v>
      </c>
      <c r="K12" s="29" t="str">
        <f>IF(H12&gt;I12,"Deduções legais","Desconto simplificado")</f>
        <v>Desconto simplificado</v>
      </c>
    </row>
    <row r="13" spans="2:11">
      <c r="B13" s="23">
        <v>8</v>
      </c>
      <c r="C13" s="6" t="s">
        <v>59</v>
      </c>
      <c r="D13" s="33"/>
      <c r="E13" s="34"/>
      <c r="F13" s="33"/>
      <c r="G13" s="33"/>
      <c r="H13" s="25">
        <f>D13+E13*'Tabelas'!$C$15+F13+G13</f>
        <v>0.0</v>
      </c>
      <c r="I13" s="25">
        <f>'Tabelas'!$C$14</f>
        <v>607.2</v>
      </c>
      <c r="J13" s="27">
        <f>MAX(H13,I13)</f>
        <v>607.2</v>
      </c>
      <c r="K13" s="29" t="str">
        <f>IF(H13&gt;I13,"Deduções legais","Desconto simplificado")</f>
        <v>Desconto simplificado</v>
      </c>
    </row>
    <row r="14" spans="2:11">
      <c r="B14" s="23">
        <v>9</v>
      </c>
      <c r="C14" s="6" t="s">
        <v>60</v>
      </c>
      <c r="D14" s="33"/>
      <c r="E14" s="34"/>
      <c r="F14" s="33"/>
      <c r="G14" s="33"/>
      <c r="H14" s="25">
        <f>D14+E14*'Tabelas'!$C$15+F14+G14</f>
        <v>0.0</v>
      </c>
      <c r="I14" s="25">
        <f>'Tabelas'!$C$14</f>
        <v>607.2</v>
      </c>
      <c r="J14" s="27">
        <f>MAX(H14,I14)</f>
        <v>607.2</v>
      </c>
      <c r="K14" s="29" t="str">
        <f>IF(H14&gt;I14,"Deduções legais","Desconto simplificado")</f>
        <v>Desconto simplificado</v>
      </c>
    </row>
    <row r="15" spans="2:11">
      <c r="B15" s="23">
        <v>10</v>
      </c>
      <c r="C15" s="6" t="s">
        <v>61</v>
      </c>
      <c r="D15" s="33"/>
      <c r="E15" s="34"/>
      <c r="F15" s="33"/>
      <c r="G15" s="33"/>
      <c r="H15" s="25">
        <f>D15+E15*'Tabelas'!$C$15+F15+G15</f>
        <v>0.0</v>
      </c>
      <c r="I15" s="25">
        <f>'Tabelas'!$C$14</f>
        <v>607.2</v>
      </c>
      <c r="J15" s="27">
        <f>MAX(H15,I15)</f>
        <v>607.2</v>
      </c>
      <c r="K15" s="29" t="str">
        <f>IF(H15&gt;I15,"Deduções legais","Desconto simplificado")</f>
        <v>Desconto simplificado</v>
      </c>
    </row>
    <row r="16" spans="2:11">
      <c r="B16" s="23">
        <v>11</v>
      </c>
      <c r="C16" s="6" t="s">
        <v>62</v>
      </c>
      <c r="D16" s="33"/>
      <c r="E16" s="34"/>
      <c r="F16" s="33"/>
      <c r="G16" s="33"/>
      <c r="H16" s="25">
        <f>D16+E16*'Tabelas'!$C$15+F16+G16</f>
        <v>0.0</v>
      </c>
      <c r="I16" s="25">
        <f>'Tabelas'!$C$14</f>
        <v>607.2</v>
      </c>
      <c r="J16" s="27">
        <f>MAX(H16,I16)</f>
        <v>607.2</v>
      </c>
      <c r="K16" s="29" t="str">
        <f>IF(H16&gt;I16,"Deduções legais","Desconto simplificado")</f>
        <v>Desconto simplificado</v>
      </c>
    </row>
    <row r="17" spans="2:11">
      <c r="B17" s="23">
        <v>12</v>
      </c>
      <c r="C17" s="6" t="s">
        <v>63</v>
      </c>
      <c r="D17" s="33"/>
      <c r="E17" s="34"/>
      <c r="F17" s="33"/>
      <c r="G17" s="33"/>
      <c r="H17" s="25">
        <f>D17+E17*'Tabelas'!$C$15+F17+G17</f>
        <v>0.0</v>
      </c>
      <c r="I17" s="25">
        <f>'Tabelas'!$C$14</f>
        <v>607.2</v>
      </c>
      <c r="J17" s="27">
        <f>MAX(H17,I17)</f>
        <v>607.2</v>
      </c>
      <c r="K17" s="29" t="str">
        <f>IF(H17&gt;I17,"Deduções legais","Desconto simplificado")</f>
        <v>Desconto simplificado</v>
      </c>
    </row>
    <row r="19" spans="2:11">
      <c r="B19" s="7" t="s">
        <v>78</v>
      </c>
    </row>
    <row r="20" spans="2:11">
      <c r="B20" s="7" t="s">
        <v>79</v>
      </c>
    </row>
    <row r="21" spans="2:11">
      <c r="B21" s="7" t="s">
        <v>80</v>
      </c>
    </row>
  </sheetData>
  <sheetProtection sheet="1" objects="1" scenarios="1" formatColumns="0" formatRows="0"/>
  <dataValidations count="3">
    <dataValidation type="decimal" operator="greaterThanOrEqual" allowBlank="1" showInputMessage="1" showErrorMessage="1" errorTitle="Valor inválido" error="Digite só o número, em reais." sqref="D6:D17">
      <formula1>0</formula1>
    </dataValidation>
    <dataValidation type="decimal" operator="greaterThanOrEqual" allowBlank="1" showInputMessage="1" showErrorMessage="1" errorTitle="Valor inválido" error="Digite só o número, em reais." sqref="F6:G17">
      <formula1>0</formula1>
    </dataValidation>
    <dataValidation type="whole" allowBlank="1" showInputMessage="1" showErrorMessage="1" errorTitle="Valor inválido" error="Digite o número de dependentes (0 a 20)." sqref="E6:E17">
      <formula1>0</formula1>
      <formula2>20</formula2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C6762"/>
    <pageSetUpPr fitToPage="1"/>
  </sheetPr>
  <dimension ref="B2:F20"/>
  <sheetViews>
    <sheetView showGridLines="0" workbookViewId="0"/>
  </sheetViews>
  <sheetFormatPr defaultRowHeight="15"/>
  <cols>
    <col min="1" max="1" width="2.7109375" customWidth="1"/>
    <col min="2" max="2" width="5.7109375" customWidth="1"/>
    <col min="3" max="3" width="22.7109375" customWidth="1"/>
    <col min="4" max="4" width="18.7109375" customWidth="1"/>
    <col min="5" max="5" width="20.7109375" customWidth="1"/>
    <col min="6" max="6" width="60.7109375" customWidth="1"/>
  </cols>
  <sheetData>
    <row r="2" spans="2:6">
      <c r="B2" s="10" t="s">
        <v>81</v>
      </c>
    </row>
    <row r="3" spans="2:6">
      <c r="B3" s="2" t="s">
        <v>82</v>
      </c>
    </row>
    <row r="5" spans="2:6" ht="30" customHeight="1">
      <c r="B5" s="13" t="s">
        <v>41</v>
      </c>
      <c r="C5" s="13" t="s">
        <v>83</v>
      </c>
      <c r="D5" s="13" t="s">
        <v>84</v>
      </c>
      <c r="E5" s="13" t="s">
        <v>85</v>
      </c>
      <c r="F5" s="13" t="s">
        <v>86</v>
      </c>
    </row>
    <row r="6" spans="2:6">
      <c r="B6" s="23">
        <v>1</v>
      </c>
      <c r="C6" s="6" t="s">
        <v>87</v>
      </c>
      <c r="D6" s="28">
        <v>46006</v>
      </c>
      <c r="E6" s="35">
        <v>5.3923</v>
      </c>
      <c r="F6" s="29" t="s">
        <v>88</v>
      </c>
    </row>
    <row r="7" spans="2:6">
      <c r="B7" s="23">
        <v>2</v>
      </c>
      <c r="C7" s="6" t="s">
        <v>89</v>
      </c>
      <c r="D7" s="28">
        <v>46037</v>
      </c>
      <c r="E7" s="35">
        <v>5.384</v>
      </c>
      <c r="F7" s="29" t="s">
        <v>88</v>
      </c>
    </row>
    <row r="8" spans="2:6">
      <c r="B8" s="23">
        <v>3</v>
      </c>
      <c r="C8" s="6" t="s">
        <v>90</v>
      </c>
      <c r="D8" s="28">
        <v>46066</v>
      </c>
      <c r="E8" s="35">
        <v>5.2282</v>
      </c>
      <c r="F8" s="29" t="s">
        <v>88</v>
      </c>
    </row>
    <row r="9" spans="2:6">
      <c r="B9" s="23">
        <v>4</v>
      </c>
      <c r="C9" s="6" t="s">
        <v>91</v>
      </c>
      <c r="D9" s="28">
        <v>46094</v>
      </c>
      <c r="E9" s="35">
        <v>5.2535</v>
      </c>
      <c r="F9" s="29" t="s">
        <v>88</v>
      </c>
    </row>
    <row r="10" spans="2:6">
      <c r="B10" s="23">
        <v>5</v>
      </c>
      <c r="C10" s="6" t="s">
        <v>92</v>
      </c>
      <c r="D10" s="28">
        <v>46127</v>
      </c>
      <c r="E10" s="35">
        <v>4.9922</v>
      </c>
      <c r="F10" s="29" t="s">
        <v>88</v>
      </c>
    </row>
    <row r="11" spans="2:6">
      <c r="B11" s="23">
        <v>6</v>
      </c>
      <c r="C11" s="6" t="s">
        <v>93</v>
      </c>
      <c r="D11" s="28">
        <v>46157</v>
      </c>
      <c r="E11" s="35">
        <v>5.0648</v>
      </c>
      <c r="F11" s="29" t="s">
        <v>88</v>
      </c>
    </row>
    <row r="12" spans="2:6">
      <c r="B12" s="23">
        <v>7</v>
      </c>
      <c r="C12" s="6" t="s">
        <v>94</v>
      </c>
      <c r="D12" s="28">
        <v>46188</v>
      </c>
      <c r="E12" s="35">
        <v>5.0424</v>
      </c>
      <c r="F12" s="29" t="s">
        <v>88</v>
      </c>
    </row>
    <row r="13" spans="2:6">
      <c r="B13" s="23">
        <v>8</v>
      </c>
      <c r="C13" s="6" t="s">
        <v>95</v>
      </c>
      <c r="D13" s="28">
        <v>46218</v>
      </c>
      <c r="E13" s="35">
        <v>5.0721</v>
      </c>
      <c r="F13" s="29" t="s">
        <v>88</v>
      </c>
    </row>
    <row r="14" spans="2:6">
      <c r="B14" s="23">
        <v>9</v>
      </c>
      <c r="C14" s="6" t="s">
        <v>96</v>
      </c>
      <c r="D14" s="28">
        <v>46248</v>
      </c>
      <c r="E14" s="35">
        <v>5.223</v>
      </c>
      <c r="F14" s="29" t="s">
        <v>88</v>
      </c>
    </row>
    <row r="15" spans="2:6">
      <c r="B15" s="23">
        <v>10</v>
      </c>
      <c r="C15" s="6" t="s">
        <v>97</v>
      </c>
      <c r="D15" s="28">
        <v>46280</v>
      </c>
      <c r="E15" s="35">
        <v>5.1484</v>
      </c>
      <c r="F15" s="29" t="s">
        <v>88</v>
      </c>
    </row>
    <row r="16" spans="2:6">
      <c r="B16" s="23">
        <v>11</v>
      </c>
      <c r="C16" s="6" t="s">
        <v>98</v>
      </c>
      <c r="D16" s="28">
        <v>46310</v>
      </c>
      <c r="E16" s="35">
        <v>5.0515</v>
      </c>
      <c r="F16" s="29" t="s">
        <v>88</v>
      </c>
    </row>
    <row r="17" spans="2:6">
      <c r="B17" s="23">
        <v>12</v>
      </c>
      <c r="C17" s="6" t="s">
        <v>99</v>
      </c>
      <c r="D17" s="28">
        <v>46339</v>
      </c>
      <c r="E17" s="36"/>
      <c r="F17" s="26" t="s">
        <v>100</v>
      </c>
    </row>
    <row r="19" spans="2:6">
      <c r="B19" s="7" t="s">
        <v>101</v>
      </c>
    </row>
    <row r="20" spans="2:6">
      <c r="B20" s="7" t="s">
        <v>102</v>
      </c>
    </row>
  </sheetData>
  <sheetProtection sheet="1" objects="1" scenarios="1" formatColumns="0" formatRows="0"/>
  <dataValidations count="1">
    <dataValidation type="decimal" allowBlank="1" showInputMessage="1" showErrorMessage="1" errorTitle="Cotação inválida" error="Use a cotação de compra, por exemplo 5,0515." sqref="E6:E17">
      <formula1>1</formula1>
      <formula2>20</formula2>
    </dataValidation>
  </dataValidation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C6762"/>
    <pageSetUpPr fitToPage="1"/>
  </sheetPr>
  <dimension ref="B2:F46"/>
  <sheetViews>
    <sheetView showGridLines="0" workbookViewId="0"/>
  </sheetViews>
  <sheetFormatPr defaultRowHeight="15"/>
  <cols>
    <col min="1" max="1" width="2.7109375" customWidth="1"/>
    <col min="2" max="2" width="44.7109375" customWidth="1"/>
    <col min="3" max="3" width="16.7109375" customWidth="1"/>
    <col min="4" max="4" width="12.7109375" customWidth="1"/>
    <col min="5" max="5" width="20.7109375" customWidth="1"/>
    <col min="6" max="6" width="50.7109375" customWidth="1"/>
  </cols>
  <sheetData>
    <row r="2" spans="2:6">
      <c r="B2" s="10" t="s">
        <v>103</v>
      </c>
    </row>
    <row r="3" spans="2:6">
      <c r="B3" s="2" t="s">
        <v>104</v>
      </c>
    </row>
    <row r="4" spans="2:6">
      <c r="B4" s="3" t="s">
        <v>105</v>
      </c>
    </row>
    <row r="5" spans="2:6">
      <c r="B5" s="13" t="s">
        <v>106</v>
      </c>
      <c r="C5" s="13" t="s">
        <v>107</v>
      </c>
      <c r="D5" s="13" t="s">
        <v>108</v>
      </c>
      <c r="E5" s="13" t="s">
        <v>109</v>
      </c>
    </row>
    <row r="6" spans="2:6">
      <c r="B6" s="37">
        <v>0</v>
      </c>
      <c r="C6" s="37">
        <v>2428.8</v>
      </c>
      <c r="D6" s="38">
        <v>0</v>
      </c>
      <c r="E6" s="37">
        <v>0</v>
      </c>
      <c r="F6" s="7" t="s">
        <v>111</v>
      </c>
    </row>
    <row r="7" spans="2:6">
      <c r="B7" s="37">
        <v>2428.8</v>
      </c>
      <c r="C7" s="37">
        <v>2826.65</v>
      </c>
      <c r="D7" s="38">
        <v>0.075</v>
      </c>
      <c r="E7" s="37">
        <v>182.16</v>
      </c>
    </row>
    <row r="8" spans="2:6">
      <c r="B8" s="37">
        <v>2826.65</v>
      </c>
      <c r="C8" s="37">
        <v>3751.05</v>
      </c>
      <c r="D8" s="38">
        <v>0.15</v>
      </c>
      <c r="E8" s="37">
        <v>394.16</v>
      </c>
    </row>
    <row r="9" spans="2:6">
      <c r="B9" s="37">
        <v>3751.05</v>
      </c>
      <c r="C9" s="37">
        <v>4664.68</v>
      </c>
      <c r="D9" s="38">
        <v>0.225</v>
      </c>
      <c r="E9" s="37">
        <v>675.49</v>
      </c>
    </row>
    <row r="10" spans="2:6">
      <c r="B10" s="37">
        <v>4664.68</v>
      </c>
      <c r="C10" s="29" t="s">
        <v>110</v>
      </c>
      <c r="D10" s="38">
        <v>0.275</v>
      </c>
      <c r="E10" s="37">
        <v>908.73</v>
      </c>
    </row>
    <row r="13" spans="2:6">
      <c r="B13" s="3" t="s">
        <v>112</v>
      </c>
    </row>
    <row r="14" spans="2:6">
      <c r="B14" s="6" t="s">
        <v>113</v>
      </c>
      <c r="C14" s="37">
        <v>607.2</v>
      </c>
      <c r="D14" s="7" t="s">
        <v>114</v>
      </c>
    </row>
    <row r="15" spans="2:6">
      <c r="B15" s="6" t="s">
        <v>115</v>
      </c>
      <c r="C15" s="37">
        <v>189.59</v>
      </c>
      <c r="D15" s="7" t="s">
        <v>116</v>
      </c>
    </row>
    <row r="18" spans="2:4">
      <c r="B18" s="3" t="s">
        <v>117</v>
      </c>
    </row>
    <row r="19" spans="2:4">
      <c r="B19" s="6" t="s">
        <v>118</v>
      </c>
      <c r="C19" s="37">
        <v>5000</v>
      </c>
    </row>
    <row r="20" spans="2:4">
      <c r="B20" s="6" t="s">
        <v>119</v>
      </c>
      <c r="C20" s="37">
        <v>312.89</v>
      </c>
    </row>
    <row r="21" spans="2:4">
      <c r="B21" s="6" t="s">
        <v>120</v>
      </c>
      <c r="C21" s="37">
        <v>7350</v>
      </c>
      <c r="D21" s="7" t="s">
        <v>123</v>
      </c>
    </row>
    <row r="22" spans="2:4">
      <c r="B22" s="6" t="s">
        <v>121</v>
      </c>
      <c r="C22" s="37">
        <v>978.62</v>
      </c>
    </row>
    <row r="23" spans="2:4">
      <c r="B23" s="6" t="s">
        <v>122</v>
      </c>
      <c r="C23" s="39">
        <v>0.133145</v>
      </c>
    </row>
    <row r="26" spans="2:4">
      <c r="B26" s="3" t="s">
        <v>124</v>
      </c>
    </row>
    <row r="27" spans="2:4">
      <c r="B27" s="6" t="s">
        <v>125</v>
      </c>
      <c r="C27" s="37">
        <v>10</v>
      </c>
      <c r="D27" s="7" t="s">
        <v>126</v>
      </c>
    </row>
    <row r="28" spans="2:4">
      <c r="B28" s="6" t="s">
        <v>127</v>
      </c>
      <c r="C28" s="40" t="s">
        <v>128</v>
      </c>
    </row>
    <row r="30" spans="2:4">
      <c r="B30" s="3" t="s">
        <v>129</v>
      </c>
    </row>
    <row r="31" spans="2:4">
      <c r="B31" s="13" t="s">
        <v>130</v>
      </c>
      <c r="C31" s="13" t="s">
        <v>131</v>
      </c>
    </row>
    <row r="32" spans="2:4">
      <c r="B32" s="28">
        <v>46023</v>
      </c>
      <c r="C32" s="29" t="s">
        <v>132</v>
      </c>
    </row>
    <row r="33" spans="2:3">
      <c r="B33" s="28">
        <v>46069</v>
      </c>
      <c r="C33" s="29" t="s">
        <v>133</v>
      </c>
    </row>
    <row r="34" spans="2:3">
      <c r="B34" s="28">
        <v>46070</v>
      </c>
      <c r="C34" s="29" t="s">
        <v>133</v>
      </c>
    </row>
    <row r="35" spans="2:3">
      <c r="B35" s="28">
        <v>46115</v>
      </c>
      <c r="C35" s="29" t="s">
        <v>134</v>
      </c>
    </row>
    <row r="36" spans="2:3">
      <c r="B36" s="28">
        <v>46133</v>
      </c>
      <c r="C36" s="29" t="s">
        <v>135</v>
      </c>
    </row>
    <row r="37" spans="2:3">
      <c r="B37" s="28">
        <v>46143</v>
      </c>
      <c r="C37" s="29" t="s">
        <v>136</v>
      </c>
    </row>
    <row r="38" spans="2:3">
      <c r="B38" s="28">
        <v>46177</v>
      </c>
      <c r="C38" s="29" t="s">
        <v>137</v>
      </c>
    </row>
    <row r="39" spans="2:3">
      <c r="B39" s="28">
        <v>46272</v>
      </c>
      <c r="C39" s="29" t="s">
        <v>138</v>
      </c>
    </row>
    <row r="40" spans="2:3">
      <c r="B40" s="28">
        <v>46307</v>
      </c>
      <c r="C40" s="29" t="s">
        <v>139</v>
      </c>
    </row>
    <row r="41" spans="2:3">
      <c r="B41" s="28">
        <v>46328</v>
      </c>
      <c r="C41" s="29" t="s">
        <v>140</v>
      </c>
    </row>
    <row r="42" spans="2:3">
      <c r="B42" s="28">
        <v>46341</v>
      </c>
      <c r="C42" s="29" t="s">
        <v>141</v>
      </c>
    </row>
    <row r="43" spans="2:3">
      <c r="B43" s="28">
        <v>46346</v>
      </c>
      <c r="C43" s="29" t="s">
        <v>142</v>
      </c>
    </row>
    <row r="44" spans="2:3">
      <c r="B44" s="28">
        <v>46381</v>
      </c>
      <c r="C44" s="29" t="s">
        <v>143</v>
      </c>
    </row>
    <row r="45" spans="2:3">
      <c r="B45" s="28">
        <v>46387</v>
      </c>
      <c r="C45" s="29" t="s">
        <v>144</v>
      </c>
    </row>
    <row r="46" spans="2:3">
      <c r="B46" s="28">
        <v>46388</v>
      </c>
      <c r="C46" s="29" t="s">
        <v>132</v>
      </c>
    </row>
  </sheetData>
  <sheetProtection sheet="1" objects="1" scenarios="1" formatColumns="0" formatRows="0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Comece aqui</vt:lpstr>
      <vt:lpstr>Pagamentos</vt:lpstr>
      <vt:lpstr>Resumo do mês</vt:lpstr>
      <vt:lpstr>Deduções</vt:lpstr>
      <vt:lpstr>Cotações</vt:lpstr>
      <vt:lpstr>Tabelas</vt:lpstr>
      <vt:lpstr>Pagamentos!Print_Titles</vt:lpstr>
      <vt:lpstr>'Resumo do mês'!Print_Titles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Carnê-leão 2026 para quem recebe em dólar</dc:title>
  <dc:creator>Ganho Real</dc:creator>
  <dc:description>Estimativa. Não é orientação contábil.</dc:description>
  <cp:lastModifiedBy>Ganho Real</cp:lastModifiedBy>
  <dcterms:created xsi:type="dcterms:W3CDTF">2026-10-26T01:36:30Z</dcterms:created>
  <dcterms:modified xsi:type="dcterms:W3CDTF">2026-10-26T01:36:30Z</dcterms:modified>
</cp:coreProperties>
</file>